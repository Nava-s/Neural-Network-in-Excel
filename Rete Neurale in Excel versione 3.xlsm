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a2agroup-my.sharepoint.com/personal/antonio_proietti_a2a_it/Documents/Desktop/backup lavoro/File Antonio/ML Projects/"/>
    </mc:Choice>
  </mc:AlternateContent>
  <xr:revisionPtr revIDLastSave="296093" documentId="8_{894AC09B-A734-4C2C-9B0B-CBB5185691BD}" xr6:coauthVersionLast="47" xr6:coauthVersionMax="47" xr10:uidLastSave="{8F218D31-D95A-4909-96A4-C54018E2BF44}"/>
  <bookViews>
    <workbookView xWindow="-120" yWindow="-120" windowWidth="29040" windowHeight="15840" activeTab="3" xr2:uid="{F943EE72-912C-4F2B-B9AD-FA9735BAAAC3}"/>
  </bookViews>
  <sheets>
    <sheet name="Grafico1" sheetId="5" r:id="rId1"/>
    <sheet name="DATI" sheetId="4" r:id="rId2"/>
    <sheet name="PARAMETRI" sheetId="6" r:id="rId3"/>
    <sheet name="Grafo" sheetId="1" r:id="rId4"/>
  </sheets>
  <definedNames>
    <definedName name="a1_1">PARAMETRI!$M$2:$M$60</definedName>
    <definedName name="a1_2">PARAMETRI!$N$2:$N$60</definedName>
    <definedName name="a1_3">PARAMETRI!$O$2:$O$60</definedName>
    <definedName name="a2_1">PARAMETRI!$Z$2:$Z$60</definedName>
    <definedName name="a2_2">PARAMETRI!$AA$2:$AA$60</definedName>
    <definedName name="beta1_1">PARAMETRI!$A$2</definedName>
    <definedName name="beta1_2">PARAMETRI!$B$2</definedName>
    <definedName name="beta1_3">PARAMETRI!$C$2</definedName>
    <definedName name="beta2_1">PARAMETRI!$P$2</definedName>
    <definedName name="beta2_2">PARAMETRI!$Q$2</definedName>
    <definedName name="beta3">PARAMETRI!$AB$2</definedName>
    <definedName name="dA1_1">PARAMETRI!$AM$2:$AM$60</definedName>
    <definedName name="dA1_2">PARAMETRI!$AN$2:$AN$60</definedName>
    <definedName name="dA1_3">PARAMETRI!$AO$2:$AO$60</definedName>
    <definedName name="dA2_1">PARAMETRI!$AI$2:$AI$60</definedName>
    <definedName name="dA2_2">PARAMETRI!$AJ$2:$AJ$60</definedName>
    <definedName name="deltabeta1_1">PARAMETRI!$AS$2</definedName>
    <definedName name="deltabeta1_2">PARAMETRI!$AT$2</definedName>
    <definedName name="deltabeta1_3">PARAMETRI!$AU$2</definedName>
    <definedName name="deltabeta2_1">PARAMETRI!$BB$2</definedName>
    <definedName name="deltabeta2_2">PARAMETRI!$BC$2</definedName>
    <definedName name="deltabeta3">PARAMETRI!$BJ$2</definedName>
    <definedName name="deltaw11_1">PARAMETRI!$AV$2</definedName>
    <definedName name="deltaw11_2">PARAMETRI!$AW$2</definedName>
    <definedName name="deltaw11_3">PARAMETRI!$AX$2</definedName>
    <definedName name="deltaw12_1">PARAMETRI!$AY$2</definedName>
    <definedName name="deltaw12_2">PARAMETRI!$AZ$2</definedName>
    <definedName name="deltaw12_3">PARAMETRI!$BA$2</definedName>
    <definedName name="deltaw21_1">PARAMETRI!$BD$2</definedName>
    <definedName name="deltaw21_2">PARAMETRI!$BE$2</definedName>
    <definedName name="deltaw22_1">PARAMETRI!$BF$2</definedName>
    <definedName name="deltaw22_2">PARAMETRI!$BG$2</definedName>
    <definedName name="deltaw23_1">PARAMETRI!$BH$2</definedName>
    <definedName name="deltaw23_2">PARAMETRI!$BI$2</definedName>
    <definedName name="deltaw31_1">PARAMETRI!$BK$2</definedName>
    <definedName name="deltaw32_1">PARAMETRI!$BL$2</definedName>
    <definedName name="dZ1_1">PARAMETRI!$AP$2:$AP$60</definedName>
    <definedName name="dZ1_2">PARAMETRI!$AQ$2:$AQ$60</definedName>
    <definedName name="dZ1_3">PARAMETRI!$AR$2:$AR$60</definedName>
    <definedName name="dZ2_1">PARAMETRI!$AK$2:$AK$60</definedName>
    <definedName name="dZ2_2">PARAMETRI!$AL$2:$AL$60</definedName>
    <definedName name="dZL">PARAMETRI!$AH$2:$AH$60</definedName>
    <definedName name="w11_1">PARAMETRI!$D$2</definedName>
    <definedName name="w11_2">PARAMETRI!$E$2</definedName>
    <definedName name="w11_3">PARAMETRI!$F$2</definedName>
    <definedName name="w12_1">PARAMETRI!$G$2</definedName>
    <definedName name="w12_2">PARAMETRI!$H$2</definedName>
    <definedName name="w12_3">PARAMETRI!$I$2</definedName>
    <definedName name="w21_1">PARAMETRI!$R$2</definedName>
    <definedName name="w21_2">PARAMETRI!$S$2</definedName>
    <definedName name="w22_1">PARAMETRI!$T$2</definedName>
    <definedName name="w22_2">PARAMETRI!$U$2</definedName>
    <definedName name="w23_1">PARAMETRI!$V$2</definedName>
    <definedName name="w23_2">PARAMETRI!$W$2</definedName>
    <definedName name="w31_1">PARAMETRI!$AC$2</definedName>
    <definedName name="w32_1">PARAMETRI!$AD$2</definedName>
    <definedName name="X_1">DATI!$A$2:$A$60</definedName>
    <definedName name="X_2">DATI!$B$2:$B$60</definedName>
    <definedName name="Y">DATI!$C$2:$C$60</definedName>
    <definedName name="Y_pred">PARAMETRI!$AF$2:$AF$60</definedName>
    <definedName name="y_pred_arr">PARAMETRI!$AG$2:$AG$60</definedName>
    <definedName name="z_3">PARAMETRI!$AE$2:$AE$60</definedName>
    <definedName name="z1_1">PARAMETRI!$J$2:$J$60</definedName>
    <definedName name="z1_2">PARAMETRI!$K$2:$K$60</definedName>
    <definedName name="z1_3">PARAMETRI!$L$2:$L$60</definedName>
    <definedName name="Z2_1">PARAMETRI!$X$2:$X$60</definedName>
    <definedName name="Z2_2">PARAMETRI!$Y$2:$Y$60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6" l="1" a="1"/>
  <c r="J2" i="6" s="1"/>
  <c r="M2" i="6" s="1" a="1"/>
  <c r="M2" i="6" s="1"/>
  <c r="L2" i="6" a="1"/>
  <c r="L2" i="6" s="1"/>
  <c r="O2" i="6" s="1" a="1"/>
  <c r="O2" i="6" s="1"/>
  <c r="BH1" i="6" l="1"/>
  <c r="BI1" i="6"/>
  <c r="BJ1" i="6"/>
  <c r="BK1" i="6"/>
  <c r="BL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AS1" i="6"/>
  <c r="K2" i="6" l="1" a="1"/>
  <c r="K2" i="6" s="1"/>
  <c r="N2" i="6" s="1" a="1"/>
  <c r="N2" i="6" s="1"/>
  <c r="Y2" i="6" l="1" a="1"/>
  <c r="Y2" i="6" s="1"/>
  <c r="AA2" i="6" s="1" a="1"/>
  <c r="AA2" i="6" s="1"/>
  <c r="X2" i="6" a="1"/>
  <c r="X2" i="6" s="1"/>
  <c r="Z2" i="6" s="1" a="1"/>
  <c r="Z2" i="6" s="1"/>
  <c r="AE2" i="6" l="1" a="1"/>
  <c r="AE2" i="6" s="1"/>
  <c r="AF2" i="6" l="1" a="1"/>
  <c r="AF2" i="6" s="1"/>
  <c r="AH2" i="6" s="1" a="1"/>
  <c r="AH2" i="6" s="1"/>
  <c r="T6" i="1" l="1" a="1"/>
  <c r="T6" i="1" s="1"/>
  <c r="AG2" i="6" a="1"/>
  <c r="AG2" i="6" s="1"/>
  <c r="T5" i="1" s="1"/>
  <c r="BJ2" i="6" l="1"/>
  <c r="AK2" i="6" a="1"/>
  <c r="AK2" i="6" s="1"/>
  <c r="BF2" i="6" s="1"/>
  <c r="BK2" i="6"/>
  <c r="AI2" i="6" a="1"/>
  <c r="AI2" i="6" s="1"/>
  <c r="AJ2" i="6" a="1"/>
  <c r="AJ2" i="6" s="1"/>
  <c r="AL2" i="6" a="1"/>
  <c r="AL2" i="6" s="1"/>
  <c r="BC2" i="6" s="1"/>
  <c r="BL2" i="6"/>
  <c r="AO2" i="6" l="1" a="1"/>
  <c r="AO2" i="6" s="1"/>
  <c r="BH2" i="6"/>
  <c r="BI2" i="6"/>
  <c r="AN2" i="6" a="1"/>
  <c r="AN2" i="6" s="1"/>
  <c r="BG2" i="6"/>
  <c r="BE2" i="6"/>
  <c r="AR2" i="6" a="1"/>
  <c r="AR2" i="6" s="1"/>
  <c r="AX2" i="6" s="1"/>
  <c r="AQ2" i="6" a="1"/>
  <c r="AQ2" i="6" s="1"/>
  <c r="AZ2" i="6" s="1"/>
  <c r="AP2" i="6" a="1"/>
  <c r="AP2" i="6" s="1"/>
  <c r="AV2" i="6" s="1"/>
  <c r="BD2" i="6"/>
  <c r="AM2" i="6" a="1"/>
  <c r="AM2" i="6" s="1"/>
  <c r="BB2" i="6"/>
  <c r="BA2" i="6" l="1"/>
  <c r="AW2" i="6"/>
  <c r="AU2" i="6"/>
  <c r="AS2" i="6"/>
  <c r="AT2" i="6"/>
  <c r="AY2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<sst xmlns="http://schemas.openxmlformats.org/spreadsheetml/2006/main" count="68" uniqueCount="61">
  <si>
    <t>X1</t>
  </si>
  <si>
    <t>X2</t>
  </si>
  <si>
    <t>a1_1</t>
  </si>
  <si>
    <t>a1_2</t>
  </si>
  <si>
    <t>a1_3</t>
  </si>
  <si>
    <t>a2_1</t>
  </si>
  <si>
    <t>a2_2</t>
  </si>
  <si>
    <t>y^</t>
  </si>
  <si>
    <t>Y</t>
  </si>
  <si>
    <t>backpropagation</t>
  </si>
  <si>
    <t>Output</t>
  </si>
  <si>
    <t>dZL</t>
  </si>
  <si>
    <t>dZ2_1</t>
  </si>
  <si>
    <t>dZ2_2</t>
  </si>
  <si>
    <t>dZ1_1</t>
  </si>
  <si>
    <t>dZ1_2</t>
  </si>
  <si>
    <t>dZ1_3</t>
  </si>
  <si>
    <t>beta1_1</t>
  </si>
  <si>
    <t>beta1_2</t>
  </si>
  <si>
    <t>beta1_3</t>
  </si>
  <si>
    <t>w11_1</t>
  </si>
  <si>
    <t>w11_2</t>
  </si>
  <si>
    <t>w11_3</t>
  </si>
  <si>
    <t>w12_1</t>
  </si>
  <si>
    <t>w12_2</t>
  </si>
  <si>
    <t>w12_3</t>
  </si>
  <si>
    <t>z1_1</t>
  </si>
  <si>
    <t>z1_2</t>
  </si>
  <si>
    <t>z1_3</t>
  </si>
  <si>
    <t>beta2_1</t>
  </si>
  <si>
    <t>beta2_2</t>
  </si>
  <si>
    <t>w21_1</t>
  </si>
  <si>
    <t>w21_2</t>
  </si>
  <si>
    <t>w22_1</t>
  </si>
  <si>
    <t>w22_2</t>
  </si>
  <si>
    <t>w23_1</t>
  </si>
  <si>
    <t>w23_2</t>
  </si>
  <si>
    <t>beta3</t>
  </si>
  <si>
    <t>w31_1</t>
  </si>
  <si>
    <t>Z2_1</t>
  </si>
  <si>
    <t>Z2_2</t>
  </si>
  <si>
    <t>Y^</t>
  </si>
  <si>
    <t>feedforward</t>
  </si>
  <si>
    <t>Accuracy</t>
  </si>
  <si>
    <t>Y^arr</t>
  </si>
  <si>
    <t>LOSS</t>
  </si>
  <si>
    <t>dZL = (Y - Y^) Y^ (1-Y) Xi</t>
  </si>
  <si>
    <t>dZ2_1 = dZL * a2_1*W31_1</t>
  </si>
  <si>
    <t>dZ2_1 = dZL * a2_2*W32_1</t>
  </si>
  <si>
    <t>dZ1_1 = dZ2_1 * a1_1  * w21_1 + dZ2_2*a1_1*w21_2</t>
  </si>
  <si>
    <t>dZ1_2 = dZ2_1 * a1_1  * w22_1 + dZ2_2*a1_1*w22_2</t>
  </si>
  <si>
    <t>dZ1_3 = dZ2_1 * a1_1  * w23_1 + dZ2_2*a1_1*w23_2</t>
  </si>
  <si>
    <t>One epoch at a time</t>
  </si>
  <si>
    <t>w32_1</t>
  </si>
  <si>
    <t>dA2</t>
  </si>
  <si>
    <t>dZ2</t>
  </si>
  <si>
    <t>dZ1</t>
  </si>
  <si>
    <t>dA1</t>
  </si>
  <si>
    <t>dZ3</t>
  </si>
  <si>
    <t>N.EPOCH</t>
  </si>
  <si>
    <t>z3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</si>
</sst>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"/>
    <numFmt numFmtId="166" formatCode="0.0000000"/>
    <numFmt numFmtId="167" formatCode="0.000000000000000000000E+00"/>
    <numFmt numFmtId="172" formatCode="0.000000000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2" xfId="0" applyBorder="1"/>
    <xf numFmtId="0" fontId="1" fillId="0" borderId="0" xfId="0" applyFont="1" applyAlignment="1">
      <alignment horizontal="center"/>
    </xf>
    <xf numFmtId="0" fontId="0" fillId="2" borderId="0" xfId="0" applyFill="1"/>
    <xf numFmtId="164" fontId="0" fillId="3" borderId="0" xfId="0" applyNumberFormat="1" applyFill="1"/>
    <xf numFmtId="164" fontId="0" fillId="4" borderId="0" xfId="0" applyNumberFormat="1" applyFill="1"/>
    <xf numFmtId="0" fontId="3" fillId="2" borderId="0" xfId="0" applyFont="1" applyFill="1"/>
    <xf numFmtId="0" fontId="3" fillId="2" borderId="5" xfId="0" applyFont="1" applyFill="1" applyBorder="1"/>
    <xf numFmtId="0" fontId="0" fillId="0" borderId="5" xfId="0" applyBorder="1"/>
    <xf numFmtId="164" fontId="0" fillId="3" borderId="5" xfId="0" applyNumberFormat="1" applyFill="1" applyBorder="1"/>
    <xf numFmtId="164" fontId="0" fillId="4" borderId="5" xfId="0" applyNumberFormat="1" applyFill="1" applyBorder="1"/>
    <xf numFmtId="0" fontId="0" fillId="0" borderId="7" xfId="0" applyBorder="1"/>
    <xf numFmtId="0" fontId="0" fillId="0" borderId="6" xfId="0" applyBorder="1"/>
    <xf numFmtId="164" fontId="0" fillId="5" borderId="8" xfId="0" applyNumberFormat="1" applyFill="1" applyBorder="1"/>
    <xf numFmtId="0" fontId="0" fillId="0" borderId="8" xfId="0" applyBorder="1"/>
    <xf numFmtId="0" fontId="0" fillId="0" borderId="9" xfId="0" applyBorder="1"/>
    <xf numFmtId="164" fontId="0" fillId="6" borderId="0" xfId="0" applyNumberFormat="1" applyFill="1"/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4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/>
    </xf>
    <xf numFmtId="0" fontId="1" fillId="0" borderId="3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0" fillId="6" borderId="10" xfId="0" applyNumberFormat="1" applyFill="1" applyBorder="1" applyAlignment="1">
      <alignment horizontal="center"/>
    </xf>
    <xf numFmtId="166" fontId="0" fillId="0" borderId="5" xfId="0" applyNumberFormat="1" applyBorder="1"/>
    <xf numFmtId="166" fontId="0" fillId="0" borderId="0" xfId="0" applyNumberFormat="1"/>
    <xf numFmtId="166" fontId="0" fillId="0" borderId="7" xfId="0" applyNumberFormat="1" applyBorder="1"/>
    <xf numFmtId="166" fontId="0" fillId="0" borderId="2" xfId="0" applyNumberFormat="1" applyBorder="1"/>
    <xf numFmtId="165" fontId="0" fillId="0" borderId="4" xfId="0" applyNumberFormat="1" applyBorder="1" applyAlignment="1">
      <alignment horizontal="center" vertical="center"/>
    </xf>
    <xf numFmtId="167" fontId="0" fillId="0" borderId="0" xfId="0" applyNumberFormat="1"/>
    <xf numFmtId="164" fontId="0" fillId="6" borderId="3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72" fontId="0" fillId="0" borderId="4" xfId="0" applyNumberFormat="1" applyBorder="1" applyAlignment="1">
      <alignment horizontal="center" vertical="center"/>
    </xf>
  </cellXfs>
  <cellStyles count="1">
    <cellStyle name="Normale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56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DATI!$B$1</c:f>
              <c:strCache>
                <c:ptCount val="1"/>
                <c:pt idx="0">
                  <c:v>X2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24C6F89-7810-4B32-ACF3-CB36854A7ADC}" type="CELLRANGE">
                      <a:rPr lang="en-US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FF8-4B96-A43D-82EEA73834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66B17F-1BCE-47E5-8858-8F2B43774EF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F8-4B96-A43D-82EEA73834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2FD715-FF0A-4FC8-A4F2-FFB943745C3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F8-4B96-A43D-82EEA73834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BE99C5-EBDC-42C3-9AC1-D3EA4C524BA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F8-4B96-A43D-82EEA73834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F82F74-280A-4A14-A911-E0FF8F42155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F8-4B96-A43D-82EEA73834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B2D73D-624D-480F-B401-AB772ADBAB8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F8-4B96-A43D-82EEA73834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130F10-8720-4CD8-9F6D-07329860F32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F8-4B96-A43D-82EEA73834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EEA81A-BBB2-47ED-8277-AEDE1B8CF73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F8-4B96-A43D-82EEA73834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904EB5-3361-4951-951C-8CC083F253D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F8-4B96-A43D-82EEA73834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5153A1-B39A-4A84-A52D-864C9237A78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F8-4B96-A43D-82EEA73834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81BF22-B35A-4EC5-A09F-0654252D163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F8-4B96-A43D-82EEA73834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CF79BB-5B83-46CC-ABCE-412374F3C2C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F8-4B96-A43D-82EEA73834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F97C11-5D07-47BA-A8C0-C3F60F4AA4F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F8-4B96-A43D-82EEA73834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4190E4-B5D0-4543-A05D-42FCA602F84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F8-4B96-A43D-82EEA73834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0E15D6-6A83-4AE4-AA95-687C77CA71A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F8-4B96-A43D-82EEA73834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2BE6542-AEF4-4B0B-9590-440A7284CCF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F8-4B96-A43D-82EEA73834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B4FBFF-D23D-446F-8934-AFAB1E04181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F8-4B96-A43D-82EEA73834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AF73FE8-1ED0-4C47-A800-286A27D6EFF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F8-4B96-A43D-82EEA73834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73B8FF-4B9A-486E-9746-81B05DC211E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F8-4B96-A43D-82EEA73834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8B2F8D-8034-4FAF-A50D-4E670862AC1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F8-4B96-A43D-82EEA73834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54FEA1D-397F-4B38-BC95-E8529941222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F8-4B96-A43D-82EEA73834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F0FFDC-5FAA-4CC0-8B24-6E95198054E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F8-4B96-A43D-82EEA73834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789D68-F491-499B-9D02-7E14F948E3D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F8-4B96-A43D-82EEA73834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88D8BD-91B5-4A33-AE16-994D19D2B21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F8-4B96-A43D-82EEA73834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03FFA0-7AA1-41DF-A08A-A61BE59ED4D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F8-4B96-A43D-82EEA73834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0858FB-6B44-4E6B-8144-5DAAA98357B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F8-4B96-A43D-82EEA73834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7AE900D-14EB-4010-ACA1-A4F3FBBD819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F8-4B96-A43D-82EEA73834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01A59C-8A75-44A9-BF55-71DBBC0A25B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F8-4B96-A43D-82EEA73834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E50E39-0F62-49F4-B065-8AFD2505A2A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F8-4B96-A43D-82EEA73834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BEC4357-7F45-496C-8F6A-E1D74270806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F8-4B96-A43D-82EEA73834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269BE2-D127-4169-A2A5-74C77AAF1F7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F8-4B96-A43D-82EEA73834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3AB4C3-702F-4117-B239-5146A0E52E1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F8-4B96-A43D-82EEA73834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0A71C0-523A-4B49-A9C0-C84C0AE50E3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F8-4B96-A43D-82EEA73834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6E91B4-F5A5-4D59-848E-10D081A0175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F8-4B96-A43D-82EEA73834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DBD918B-FB3F-4196-B4D7-2DC94FD5580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F8-4B96-A43D-82EEA73834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37FFEC-9121-406E-8DFE-E5C776073AB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F8-4B96-A43D-82EEA73834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96A94B-0435-45AA-B898-0C6AE0A8355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F8-4B96-A43D-82EEA73834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ACB576B-A52B-4DBD-A63C-AC44B2B28A4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F8-4B96-A43D-82EEA73834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212A5FF-01A1-46CD-B388-FB9736927EE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F8-4B96-A43D-82EEA73834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FE870D-4CB7-40AE-824D-9EEB3B71E82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F8-4B96-A43D-82EEA73834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D32E4B9-2D24-4CCB-8D69-EE9D9C3F564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F8-4B96-A43D-82EEA73834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AC0177-26E6-4406-8AE4-C7AC5F083DC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F8-4B96-A43D-82EEA73834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297021E-C23E-44E0-8959-1E8EDE66899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F8-4B96-A43D-82EEA73834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6663D02-5AAC-4EA5-8F68-209E5A026FA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F8-4B96-A43D-82EEA73834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1DB8D4-1D3C-4619-8262-C4A9349B2AB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F8-4B96-A43D-82EEA73834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7E36EA-BA3B-472B-82F4-B066BE1915B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F8-4B96-A43D-82EEA73834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ABB128-CB30-4696-B2F7-819784FA718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F8-4B96-A43D-82EEA73834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E77695-FC4E-4D8B-A258-D6E8D1C4A3E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F8-4B96-A43D-82EEA73834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1F97FB-D5A2-4E1F-84E5-49D265C9003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F8-4B96-A43D-82EEA73834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0BEF44-2C45-4E97-9C88-14C9567D891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F8-4B96-A43D-82EEA73834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9548560-5F6D-4393-87F9-819695F8680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F8-4B96-A43D-82EEA73834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D90D16-1F08-44F8-BA5D-7881500E537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F8-4B96-A43D-82EEA73834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A82419-4575-4566-AA24-64C031AF277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F8-4B96-A43D-82EEA73834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DAE570-2FD7-49B4-8EF1-4E6AEEE6507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F8-4B96-A43D-82EEA73834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32433D-0932-4BB8-874B-E611F55F54C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F8-4B96-A43D-82EEA73834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3C0710-41EC-44C2-9B94-1D7D439F051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F8-4B96-A43D-82EEA73834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47D16A3-61B3-4B3D-8A0E-FF87044E23E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F8-4B96-A43D-82EEA73834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AA853C-B990-49A9-98BE-234043D558F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F8-4B96-A43D-82EEA73834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85B6A5E-0DED-45CF-83B3-D915F609A82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F8-4B96-A43D-82EEA73834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DATI!$A$2:$A$60</c:f>
              <c:numCache>
                <c:formatCode>General</c:formatCode>
                <c:ptCount val="59"/>
                <c:pt idx="0">
                  <c:v>25</c:v>
                </c:pt>
                <c:pt idx="1">
                  <c:v>2</c:v>
                </c:pt>
                <c:pt idx="2">
                  <c:v>8</c:v>
                </c:pt>
                <c:pt idx="3">
                  <c:v>3</c:v>
                </c:pt>
                <c:pt idx="4">
                  <c:v>17</c:v>
                </c:pt>
                <c:pt idx="5">
                  <c:v>21</c:v>
                </c:pt>
                <c:pt idx="6">
                  <c:v>0</c:v>
                </c:pt>
                <c:pt idx="7">
                  <c:v>24</c:v>
                </c:pt>
                <c:pt idx="8">
                  <c:v>0</c:v>
                </c:pt>
                <c:pt idx="9">
                  <c:v>24</c:v>
                </c:pt>
                <c:pt idx="10">
                  <c:v>6</c:v>
                </c:pt>
                <c:pt idx="11">
                  <c:v>2</c:v>
                </c:pt>
                <c:pt idx="12">
                  <c:v>23</c:v>
                </c:pt>
                <c:pt idx="13">
                  <c:v>25</c:v>
                </c:pt>
                <c:pt idx="14">
                  <c:v>25</c:v>
                </c:pt>
                <c:pt idx="15">
                  <c:v>23</c:v>
                </c:pt>
                <c:pt idx="16">
                  <c:v>0</c:v>
                </c:pt>
                <c:pt idx="17">
                  <c:v>13</c:v>
                </c:pt>
                <c:pt idx="18">
                  <c:v>11</c:v>
                </c:pt>
                <c:pt idx="19">
                  <c:v>20</c:v>
                </c:pt>
                <c:pt idx="20">
                  <c:v>21</c:v>
                </c:pt>
                <c:pt idx="21">
                  <c:v>2</c:v>
                </c:pt>
                <c:pt idx="22">
                  <c:v>8</c:v>
                </c:pt>
                <c:pt idx="23">
                  <c:v>11</c:v>
                </c:pt>
                <c:pt idx="24">
                  <c:v>21</c:v>
                </c:pt>
                <c:pt idx="25">
                  <c:v>20</c:v>
                </c:pt>
                <c:pt idx="26">
                  <c:v>3</c:v>
                </c:pt>
                <c:pt idx="27">
                  <c:v>24</c:v>
                </c:pt>
                <c:pt idx="28">
                  <c:v>24</c:v>
                </c:pt>
                <c:pt idx="29">
                  <c:v>44</c:v>
                </c:pt>
                <c:pt idx="30">
                  <c:v>37</c:v>
                </c:pt>
                <c:pt idx="31">
                  <c:v>33</c:v>
                </c:pt>
                <c:pt idx="32">
                  <c:v>36</c:v>
                </c:pt>
                <c:pt idx="33">
                  <c:v>46</c:v>
                </c:pt>
                <c:pt idx="34">
                  <c:v>36</c:v>
                </c:pt>
                <c:pt idx="35">
                  <c:v>48</c:v>
                </c:pt>
                <c:pt idx="36">
                  <c:v>50</c:v>
                </c:pt>
                <c:pt idx="37">
                  <c:v>57</c:v>
                </c:pt>
                <c:pt idx="38">
                  <c:v>31</c:v>
                </c:pt>
                <c:pt idx="39">
                  <c:v>31</c:v>
                </c:pt>
                <c:pt idx="40">
                  <c:v>57</c:v>
                </c:pt>
                <c:pt idx="41">
                  <c:v>56</c:v>
                </c:pt>
                <c:pt idx="42">
                  <c:v>51</c:v>
                </c:pt>
                <c:pt idx="43">
                  <c:v>30</c:v>
                </c:pt>
                <c:pt idx="44">
                  <c:v>33</c:v>
                </c:pt>
                <c:pt idx="45">
                  <c:v>43</c:v>
                </c:pt>
                <c:pt idx="46">
                  <c:v>49</c:v>
                </c:pt>
                <c:pt idx="47">
                  <c:v>40</c:v>
                </c:pt>
                <c:pt idx="48">
                  <c:v>56</c:v>
                </c:pt>
                <c:pt idx="49">
                  <c:v>40</c:v>
                </c:pt>
                <c:pt idx="50">
                  <c:v>41</c:v>
                </c:pt>
                <c:pt idx="51">
                  <c:v>47</c:v>
                </c:pt>
                <c:pt idx="52">
                  <c:v>46</c:v>
                </c:pt>
                <c:pt idx="53">
                  <c:v>38</c:v>
                </c:pt>
                <c:pt idx="54">
                  <c:v>60</c:v>
                </c:pt>
                <c:pt idx="55">
                  <c:v>53</c:v>
                </c:pt>
                <c:pt idx="56">
                  <c:v>36</c:v>
                </c:pt>
                <c:pt idx="57">
                  <c:v>47</c:v>
                </c:pt>
                <c:pt idx="58">
                  <c:v>40</c:v>
                </c:pt>
              </c:numCache>
            </c:numRef>
          </c:xVal>
          <c:yVal>
            <c:numRef>
              <c:f>DATI!$B$2:$B$60</c:f>
              <c:numCache>
                <c:formatCode>General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22</c:v>
                </c:pt>
                <c:pt idx="3">
                  <c:v>19</c:v>
                </c:pt>
                <c:pt idx="4">
                  <c:v>22</c:v>
                </c:pt>
                <c:pt idx="5">
                  <c:v>28</c:v>
                </c:pt>
                <c:pt idx="6">
                  <c:v>28</c:v>
                </c:pt>
                <c:pt idx="7">
                  <c:v>0</c:v>
                </c:pt>
                <c:pt idx="8">
                  <c:v>19</c:v>
                </c:pt>
                <c:pt idx="9">
                  <c:v>5</c:v>
                </c:pt>
                <c:pt idx="10">
                  <c:v>29</c:v>
                </c:pt>
                <c:pt idx="11">
                  <c:v>5</c:v>
                </c:pt>
                <c:pt idx="12">
                  <c:v>16</c:v>
                </c:pt>
                <c:pt idx="13">
                  <c:v>2</c:v>
                </c:pt>
                <c:pt idx="14">
                  <c:v>17</c:v>
                </c:pt>
                <c:pt idx="15">
                  <c:v>9</c:v>
                </c:pt>
                <c:pt idx="16">
                  <c:v>25</c:v>
                </c:pt>
                <c:pt idx="17">
                  <c:v>24</c:v>
                </c:pt>
                <c:pt idx="18">
                  <c:v>24</c:v>
                </c:pt>
                <c:pt idx="19">
                  <c:v>18</c:v>
                </c:pt>
                <c:pt idx="20">
                  <c:v>4</c:v>
                </c:pt>
                <c:pt idx="21">
                  <c:v>3</c:v>
                </c:pt>
                <c:pt idx="22">
                  <c:v>24</c:v>
                </c:pt>
                <c:pt idx="23">
                  <c:v>9</c:v>
                </c:pt>
                <c:pt idx="24">
                  <c:v>30</c:v>
                </c:pt>
                <c:pt idx="25">
                  <c:v>1</c:v>
                </c:pt>
                <c:pt idx="26">
                  <c:v>19</c:v>
                </c:pt>
                <c:pt idx="27">
                  <c:v>5</c:v>
                </c:pt>
                <c:pt idx="28">
                  <c:v>2</c:v>
                </c:pt>
                <c:pt idx="29">
                  <c:v>44</c:v>
                </c:pt>
                <c:pt idx="30">
                  <c:v>43</c:v>
                </c:pt>
                <c:pt idx="31">
                  <c:v>41</c:v>
                </c:pt>
                <c:pt idx="32">
                  <c:v>50</c:v>
                </c:pt>
                <c:pt idx="33">
                  <c:v>65</c:v>
                </c:pt>
                <c:pt idx="34">
                  <c:v>55</c:v>
                </c:pt>
                <c:pt idx="35">
                  <c:v>67</c:v>
                </c:pt>
                <c:pt idx="36">
                  <c:v>62</c:v>
                </c:pt>
                <c:pt idx="37">
                  <c:v>67</c:v>
                </c:pt>
                <c:pt idx="38">
                  <c:v>59</c:v>
                </c:pt>
                <c:pt idx="39">
                  <c:v>66</c:v>
                </c:pt>
                <c:pt idx="40">
                  <c:v>40</c:v>
                </c:pt>
                <c:pt idx="41">
                  <c:v>69</c:v>
                </c:pt>
                <c:pt idx="42">
                  <c:v>58</c:v>
                </c:pt>
                <c:pt idx="43">
                  <c:v>45</c:v>
                </c:pt>
                <c:pt idx="44">
                  <c:v>64</c:v>
                </c:pt>
                <c:pt idx="45">
                  <c:v>65</c:v>
                </c:pt>
                <c:pt idx="46">
                  <c:v>48</c:v>
                </c:pt>
                <c:pt idx="47">
                  <c:v>55</c:v>
                </c:pt>
                <c:pt idx="48">
                  <c:v>42</c:v>
                </c:pt>
                <c:pt idx="49">
                  <c:v>55</c:v>
                </c:pt>
                <c:pt idx="50">
                  <c:v>57</c:v>
                </c:pt>
                <c:pt idx="51">
                  <c:v>48</c:v>
                </c:pt>
                <c:pt idx="52">
                  <c:v>64</c:v>
                </c:pt>
                <c:pt idx="53">
                  <c:v>54</c:v>
                </c:pt>
                <c:pt idx="54">
                  <c:v>59</c:v>
                </c:pt>
                <c:pt idx="55">
                  <c:v>41</c:v>
                </c:pt>
                <c:pt idx="56">
                  <c:v>52</c:v>
                </c:pt>
                <c:pt idx="57">
                  <c:v>63</c:v>
                </c:pt>
                <c:pt idx="58">
                  <c:v>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DATI!$C$2:$C$60</c15:f>
                <c15:dlblRangeCache>
                  <c:ptCount val="5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1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1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1FF8-4B96-A43D-82EEA73834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6223919"/>
        <c:axId val="56239279"/>
      </c:scatterChart>
      <c:valAx>
        <c:axId val="56223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239279"/>
        <c:crosses val="autoZero"/>
        <c:crossBetween val="midCat"/>
      </c:valAx>
      <c:valAx>
        <c:axId val="5623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223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E18FE1B-BED9-4B76-B602-BE5762443F2E}">
  <sheetPr codeName="Grafico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190500</xdr:rowOff>
    </xdr:from>
    <xdr:to>
      <xdr:col>3</xdr:col>
      <xdr:colOff>19050</xdr:colOff>
      <xdr:row>4</xdr:row>
      <xdr:rowOff>82550</xdr:rowOff>
    </xdr:to>
    <xdr:cxnSp macro="">
      <xdr:nvCxnSpPr>
        <xdr:cNvPr id="3" name="Connettore 2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V="1">
          <a:off x="1600200" y="819150"/>
          <a:ext cx="1543050" cy="7683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</xdr:row>
      <xdr:rowOff>180975</xdr:rowOff>
    </xdr:from>
    <xdr:to>
      <xdr:col>3</xdr:col>
      <xdr:colOff>19050</xdr:colOff>
      <xdr:row>8</xdr:row>
      <xdr:rowOff>76200</xdr:rowOff>
    </xdr:to>
    <xdr:cxnSp macro="">
      <xdr:nvCxnSpPr>
        <xdr:cNvPr id="4" name="Connettore 2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1628775" y="809625"/>
          <a:ext cx="1514475" cy="2524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123825</xdr:rowOff>
    </xdr:from>
    <xdr:to>
      <xdr:col>3</xdr:col>
      <xdr:colOff>9525</xdr:colOff>
      <xdr:row>6</xdr:row>
      <xdr:rowOff>238125</xdr:rowOff>
    </xdr:to>
    <xdr:cxnSp macro="">
      <xdr:nvCxnSpPr>
        <xdr:cNvPr id="6" name="Connettore 2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1619250" y="1628775"/>
          <a:ext cx="1514475" cy="9906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6</xdr:row>
      <xdr:rowOff>219075</xdr:rowOff>
    </xdr:from>
    <xdr:to>
      <xdr:col>3</xdr:col>
      <xdr:colOff>19050</xdr:colOff>
      <xdr:row>8</xdr:row>
      <xdr:rowOff>88900</xdr:rowOff>
    </xdr:to>
    <xdr:cxnSp macro="">
      <xdr:nvCxnSpPr>
        <xdr:cNvPr id="9" name="Connettore 2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V="1">
          <a:off x="1606550" y="2600325"/>
          <a:ext cx="1536700" cy="746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</xdr:row>
      <xdr:rowOff>76200</xdr:rowOff>
    </xdr:from>
    <xdr:to>
      <xdr:col>3</xdr:col>
      <xdr:colOff>0</xdr:colOff>
      <xdr:row>10</xdr:row>
      <xdr:rowOff>228600</xdr:rowOff>
    </xdr:to>
    <xdr:cxnSp macro="">
      <xdr:nvCxnSpPr>
        <xdr:cNvPr id="12" name="Connettore 2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600200" y="3333750"/>
          <a:ext cx="1524000" cy="1028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4</xdr:row>
      <xdr:rowOff>101600</xdr:rowOff>
    </xdr:from>
    <xdr:to>
      <xdr:col>2</xdr:col>
      <xdr:colOff>1514475</xdr:colOff>
      <xdr:row>10</xdr:row>
      <xdr:rowOff>219075</xdr:rowOff>
    </xdr:to>
    <xdr:cxnSp macro="">
      <xdr:nvCxnSpPr>
        <xdr:cNvPr id="16" name="Connettore 2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1606550" y="1606550"/>
          <a:ext cx="1508125" cy="27463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2</xdr:row>
      <xdr:rowOff>76200</xdr:rowOff>
    </xdr:from>
    <xdr:to>
      <xdr:col>5</xdr:col>
      <xdr:colOff>28575</xdr:colOff>
      <xdr:row>4</xdr:row>
      <xdr:rowOff>247650</xdr:rowOff>
    </xdr:to>
    <xdr:cxnSp macro="">
      <xdr:nvCxnSpPr>
        <xdr:cNvPr id="23" name="Connettore 2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3937000" y="704850"/>
          <a:ext cx="1435100" cy="10477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</xdr:row>
      <xdr:rowOff>88900</xdr:rowOff>
    </xdr:from>
    <xdr:to>
      <xdr:col>5</xdr:col>
      <xdr:colOff>0</xdr:colOff>
      <xdr:row>8</xdr:row>
      <xdr:rowOff>323850</xdr:rowOff>
    </xdr:to>
    <xdr:cxnSp macro="">
      <xdr:nvCxnSpPr>
        <xdr:cNvPr id="24" name="Connettore 2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3943350" y="717550"/>
          <a:ext cx="1400175" cy="2863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4</xdr:row>
      <xdr:rowOff>266700</xdr:rowOff>
    </xdr:from>
    <xdr:to>
      <xdr:col>5</xdr:col>
      <xdr:colOff>0</xdr:colOff>
      <xdr:row>10</xdr:row>
      <xdr:rowOff>120650</xdr:rowOff>
    </xdr:to>
    <xdr:cxnSp macro="">
      <xdr:nvCxnSpPr>
        <xdr:cNvPr id="25" name="Connettore 2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 flipV="1">
          <a:off x="3930650" y="1771650"/>
          <a:ext cx="1412875" cy="2482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276225</xdr:rowOff>
    </xdr:from>
    <xdr:to>
      <xdr:col>5</xdr:col>
      <xdr:colOff>19050</xdr:colOff>
      <xdr:row>10</xdr:row>
      <xdr:rowOff>127000</xdr:rowOff>
    </xdr:to>
    <xdr:cxnSp macro="">
      <xdr:nvCxnSpPr>
        <xdr:cNvPr id="26" name="Connettore 2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3924300" y="3533775"/>
          <a:ext cx="1438275" cy="7270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4</xdr:row>
      <xdr:rowOff>238125</xdr:rowOff>
    </xdr:from>
    <xdr:to>
      <xdr:col>5</xdr:col>
      <xdr:colOff>19050</xdr:colOff>
      <xdr:row>6</xdr:row>
      <xdr:rowOff>66675</xdr:rowOff>
    </xdr:to>
    <xdr:cxnSp macro="">
      <xdr:nvCxnSpPr>
        <xdr:cNvPr id="27" name="Connettore 2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 flipV="1">
          <a:off x="3943350" y="1743075"/>
          <a:ext cx="1419225" cy="704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6</xdr:row>
      <xdr:rowOff>82550</xdr:rowOff>
    </xdr:from>
    <xdr:to>
      <xdr:col>5</xdr:col>
      <xdr:colOff>0</xdr:colOff>
      <xdr:row>8</xdr:row>
      <xdr:rowOff>295275</xdr:rowOff>
    </xdr:to>
    <xdr:cxnSp macro="">
      <xdr:nvCxnSpPr>
        <xdr:cNvPr id="29" name="Connettore 2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>
          <a:off x="3930650" y="2463800"/>
          <a:ext cx="1412875" cy="10890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209550</xdr:rowOff>
    </xdr:from>
    <xdr:to>
      <xdr:col>7</xdr:col>
      <xdr:colOff>9525</xdr:colOff>
      <xdr:row>8</xdr:row>
      <xdr:rowOff>76200</xdr:rowOff>
    </xdr:to>
    <xdr:cxnSp macro="">
      <xdr:nvCxnSpPr>
        <xdr:cNvPr id="30" name="Connettore 2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6143625" y="2590800"/>
          <a:ext cx="1390650" cy="7429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4</xdr:row>
      <xdr:rowOff>161925</xdr:rowOff>
    </xdr:from>
    <xdr:to>
      <xdr:col>7</xdr:col>
      <xdr:colOff>28575</xdr:colOff>
      <xdr:row>6</xdr:row>
      <xdr:rowOff>238125</xdr:rowOff>
    </xdr:to>
    <xdr:cxnSp macro="">
      <xdr:nvCxnSpPr>
        <xdr:cNvPr id="31" name="Connettore 2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6172200" y="1666875"/>
          <a:ext cx="1381125" cy="952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</xdr:colOff>
      <xdr:row>6</xdr:row>
      <xdr:rowOff>231775</xdr:rowOff>
    </xdr:from>
    <xdr:to>
      <xdr:col>8</xdr:col>
      <xdr:colOff>622300</xdr:colOff>
      <xdr:row>6</xdr:row>
      <xdr:rowOff>231775</xdr:rowOff>
    </xdr:to>
    <xdr:cxnSp macro="">
      <xdr:nvCxnSpPr>
        <xdr:cNvPr id="32" name="Connettore 2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>
          <a:off x="8343900" y="2613025"/>
          <a:ext cx="603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2</xdr:row>
      <xdr:rowOff>323851</xdr:rowOff>
    </xdr:from>
    <xdr:to>
      <xdr:col>2</xdr:col>
      <xdr:colOff>1019175</xdr:colOff>
      <xdr:row>3</xdr:row>
      <xdr:rowOff>152401</xdr:rowOff>
    </xdr:to>
    <xdr:sp macro="" textlink="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047875" y="9525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w11_1</a:t>
          </a:r>
        </a:p>
      </xdr:txBody>
    </xdr:sp>
    <xdr:clientData/>
  </xdr:twoCellAnchor>
  <xdr:twoCellAnchor>
    <xdr:from>
      <xdr:col>2</xdr:col>
      <xdr:colOff>838199</xdr:colOff>
      <xdr:row>3</xdr:row>
      <xdr:rowOff>361950</xdr:rowOff>
    </xdr:from>
    <xdr:to>
      <xdr:col>2</xdr:col>
      <xdr:colOff>1419224</xdr:colOff>
      <xdr:row>4</xdr:row>
      <xdr:rowOff>142875</xdr:rowOff>
    </xdr:to>
    <xdr:sp macro="" textlink="">
      <xdr:nvSpPr>
        <xdr:cNvPr id="34" name="CasellaDiTes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2438399" y="1428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w12_1</a:t>
          </a:r>
        </a:p>
      </xdr:txBody>
    </xdr:sp>
    <xdr:clientData/>
  </xdr:twoCellAnchor>
  <xdr:twoCellAnchor>
    <xdr:from>
      <xdr:col>2</xdr:col>
      <xdr:colOff>838199</xdr:colOff>
      <xdr:row>5</xdr:row>
      <xdr:rowOff>257175</xdr:rowOff>
    </xdr:from>
    <xdr:to>
      <xdr:col>2</xdr:col>
      <xdr:colOff>1419224</xdr:colOff>
      <xdr:row>6</xdr:row>
      <xdr:rowOff>38100</xdr:rowOff>
    </xdr:to>
    <xdr:sp macro="" textlink="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2438399" y="22002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w11_2</a:t>
          </a:r>
        </a:p>
      </xdr:txBody>
    </xdr:sp>
    <xdr:clientData/>
  </xdr:twoCellAnchor>
  <xdr:twoCellAnchor>
    <xdr:from>
      <xdr:col>2</xdr:col>
      <xdr:colOff>790574</xdr:colOff>
      <xdr:row>8</xdr:row>
      <xdr:rowOff>133350</xdr:rowOff>
    </xdr:from>
    <xdr:to>
      <xdr:col>2</xdr:col>
      <xdr:colOff>1371599</xdr:colOff>
      <xdr:row>8</xdr:row>
      <xdr:rowOff>352425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2390774" y="33909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w11_3</a:t>
          </a:r>
        </a:p>
      </xdr:txBody>
    </xdr:sp>
    <xdr:clientData/>
  </xdr:twoCellAnchor>
  <xdr:twoCellAnchor>
    <xdr:from>
      <xdr:col>2</xdr:col>
      <xdr:colOff>542924</xdr:colOff>
      <xdr:row>9</xdr:row>
      <xdr:rowOff>57150</xdr:rowOff>
    </xdr:from>
    <xdr:to>
      <xdr:col>2</xdr:col>
      <xdr:colOff>1123949</xdr:colOff>
      <xdr:row>9</xdr:row>
      <xdr:rowOff>276225</xdr:rowOff>
    </xdr:to>
    <xdr:sp macro="" textlink="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2143124" y="37528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w12_3</a:t>
          </a:r>
        </a:p>
      </xdr:txBody>
    </xdr:sp>
    <xdr:clientData/>
  </xdr:twoCellAnchor>
  <xdr:twoCellAnchor>
    <xdr:from>
      <xdr:col>2</xdr:col>
      <xdr:colOff>800099</xdr:colOff>
      <xdr:row>6</xdr:row>
      <xdr:rowOff>295275</xdr:rowOff>
    </xdr:from>
    <xdr:to>
      <xdr:col>2</xdr:col>
      <xdr:colOff>1381124</xdr:colOff>
      <xdr:row>7</xdr:row>
      <xdr:rowOff>76200</xdr:rowOff>
    </xdr:to>
    <xdr:sp macro="" textlink="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2400299" y="267652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w12_2</a:t>
          </a:r>
        </a:p>
      </xdr:txBody>
    </xdr:sp>
    <xdr:clientData/>
  </xdr:twoCellAnchor>
  <xdr:twoCellAnchor>
    <xdr:from>
      <xdr:col>4</xdr:col>
      <xdr:colOff>381000</xdr:colOff>
      <xdr:row>2</xdr:row>
      <xdr:rowOff>266701</xdr:rowOff>
    </xdr:from>
    <xdr:to>
      <xdr:col>4</xdr:col>
      <xdr:colOff>952500</xdr:colOff>
      <xdr:row>3</xdr:row>
      <xdr:rowOff>95251</xdr:rowOff>
    </xdr:to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4305300" y="8953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w21_1</a:t>
          </a:r>
        </a:p>
      </xdr:txBody>
    </xdr:sp>
    <xdr:clientData/>
  </xdr:twoCellAnchor>
  <xdr:twoCellAnchor>
    <xdr:from>
      <xdr:col>4</xdr:col>
      <xdr:colOff>209549</xdr:colOff>
      <xdr:row>4</xdr:row>
      <xdr:rowOff>85725</xdr:rowOff>
    </xdr:from>
    <xdr:to>
      <xdr:col>4</xdr:col>
      <xdr:colOff>790574</xdr:colOff>
      <xdr:row>4</xdr:row>
      <xdr:rowOff>304800</xdr:rowOff>
    </xdr:to>
    <xdr:sp macro="" textlink="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4133849" y="15906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w21_2</a:t>
          </a:r>
        </a:p>
      </xdr:txBody>
    </xdr:sp>
    <xdr:clientData/>
  </xdr:twoCellAnchor>
  <xdr:twoCellAnchor>
    <xdr:from>
      <xdr:col>4</xdr:col>
      <xdr:colOff>9524</xdr:colOff>
      <xdr:row>5</xdr:row>
      <xdr:rowOff>152400</xdr:rowOff>
    </xdr:from>
    <xdr:to>
      <xdr:col>4</xdr:col>
      <xdr:colOff>590549</xdr:colOff>
      <xdr:row>5</xdr:row>
      <xdr:rowOff>371475</xdr:rowOff>
    </xdr:to>
    <xdr:sp macro="" textlink="">
      <xdr:nvSpPr>
        <xdr:cNvPr id="43" name="CasellaDiTest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3933824" y="20955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w22_1</a:t>
          </a:r>
        </a:p>
      </xdr:txBody>
    </xdr:sp>
    <xdr:clientData/>
  </xdr:twoCellAnchor>
  <xdr:twoCellAnchor>
    <xdr:from>
      <xdr:col>4</xdr:col>
      <xdr:colOff>104774</xdr:colOff>
      <xdr:row>6</xdr:row>
      <xdr:rowOff>190500</xdr:rowOff>
    </xdr:from>
    <xdr:to>
      <xdr:col>4</xdr:col>
      <xdr:colOff>685799</xdr:colOff>
      <xdr:row>6</xdr:row>
      <xdr:rowOff>409575</xdr:rowOff>
    </xdr:to>
    <xdr:sp macro="" textlink="">
      <xdr:nvSpPr>
        <xdr:cNvPr id="44" name="CasellaDiTest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4029074" y="2571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w22_2</a:t>
          </a:r>
        </a:p>
      </xdr:txBody>
    </xdr:sp>
    <xdr:clientData/>
  </xdr:twoCellAnchor>
  <xdr:twoCellAnchor>
    <xdr:from>
      <xdr:col>4</xdr:col>
      <xdr:colOff>171449</xdr:colOff>
      <xdr:row>7</xdr:row>
      <xdr:rowOff>409575</xdr:rowOff>
    </xdr:from>
    <xdr:to>
      <xdr:col>4</xdr:col>
      <xdr:colOff>752474</xdr:colOff>
      <xdr:row>8</xdr:row>
      <xdr:rowOff>190500</xdr:rowOff>
    </xdr:to>
    <xdr:sp macro="" textlink="">
      <xdr:nvSpPr>
        <xdr:cNvPr id="45" name="CasellaDiTesto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4095749" y="32289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w23_1</a:t>
          </a:r>
        </a:p>
      </xdr:txBody>
    </xdr:sp>
    <xdr:clientData/>
  </xdr:twoCellAnchor>
  <xdr:twoCellAnchor>
    <xdr:from>
      <xdr:col>4</xdr:col>
      <xdr:colOff>400049</xdr:colOff>
      <xdr:row>9</xdr:row>
      <xdr:rowOff>104775</xdr:rowOff>
    </xdr:from>
    <xdr:to>
      <xdr:col>4</xdr:col>
      <xdr:colOff>981074</xdr:colOff>
      <xdr:row>9</xdr:row>
      <xdr:rowOff>323850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324349" y="38004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w23_2</a:t>
          </a:r>
        </a:p>
      </xdr:txBody>
    </xdr:sp>
    <xdr:clientData/>
  </xdr:twoCellAnchor>
  <xdr:twoCellAnchor>
    <xdr:from>
      <xdr:col>6</xdr:col>
      <xdr:colOff>381000</xdr:colOff>
      <xdr:row>4</xdr:row>
      <xdr:rowOff>342901</xdr:rowOff>
    </xdr:from>
    <xdr:to>
      <xdr:col>6</xdr:col>
      <xdr:colOff>952500</xdr:colOff>
      <xdr:row>5</xdr:row>
      <xdr:rowOff>171451</xdr:rowOff>
    </xdr:to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6524625" y="18478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w31_1</a:t>
          </a:r>
        </a:p>
      </xdr:txBody>
    </xdr:sp>
    <xdr:clientData/>
  </xdr:twoCellAnchor>
  <xdr:twoCellAnchor>
    <xdr:from>
      <xdr:col>6</xdr:col>
      <xdr:colOff>428625</xdr:colOff>
      <xdr:row>7</xdr:row>
      <xdr:rowOff>1</xdr:rowOff>
    </xdr:from>
    <xdr:to>
      <xdr:col>6</xdr:col>
      <xdr:colOff>1000125</xdr:colOff>
      <xdr:row>7</xdr:row>
      <xdr:rowOff>266701</xdr:rowOff>
    </xdr:to>
    <xdr:sp macro="" textlink="">
      <xdr:nvSpPr>
        <xdr:cNvPr id="48" name="CasellaDiTesto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6572250" y="28194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w32_1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2</xdr:row>
          <xdr:rowOff>266700</xdr:rowOff>
        </xdr:from>
        <xdr:to>
          <xdr:col>16</xdr:col>
          <xdr:colOff>314325</xdr:colOff>
          <xdr:row>5</xdr:row>
          <xdr:rowOff>314325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ADDESTRA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6</xdr:row>
          <xdr:rowOff>142875</xdr:rowOff>
        </xdr:from>
        <xdr:to>
          <xdr:col>16</xdr:col>
          <xdr:colOff>314325</xdr:colOff>
          <xdr:row>9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</xdr:row>
      <xdr:rowOff>190500</xdr:rowOff>
    </xdr:from>
    <xdr:to>
      <xdr:col>3</xdr:col>
      <xdr:colOff>19050</xdr:colOff>
      <xdr:row>4</xdr:row>
      <xdr:rowOff>82550</xdr:rowOff>
    </xdr:to>
    <xdr:cxnSp macro="">
      <xdr:nvCxnSpPr>
        <xdr:cNvPr id="50" name="Connettore 2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 flipV="1">
          <a:off x="1600200" y="819150"/>
          <a:ext cx="1543050" cy="7683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</xdr:row>
      <xdr:rowOff>180975</xdr:rowOff>
    </xdr:from>
    <xdr:to>
      <xdr:col>3</xdr:col>
      <xdr:colOff>19050</xdr:colOff>
      <xdr:row>8</xdr:row>
      <xdr:rowOff>76200</xdr:rowOff>
    </xdr:to>
    <xdr:cxnSp macro="">
      <xdr:nvCxnSpPr>
        <xdr:cNvPr id="51" name="Connettore 2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 flipV="1">
          <a:off x="1628775" y="809625"/>
          <a:ext cx="1514475" cy="2524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123825</xdr:rowOff>
    </xdr:from>
    <xdr:to>
      <xdr:col>3</xdr:col>
      <xdr:colOff>9525</xdr:colOff>
      <xdr:row>6</xdr:row>
      <xdr:rowOff>238125</xdr:rowOff>
    </xdr:to>
    <xdr:cxnSp macro="">
      <xdr:nvCxnSpPr>
        <xdr:cNvPr id="52" name="Connettore 2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>
          <a:off x="1619250" y="1628775"/>
          <a:ext cx="1514475" cy="9906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6</xdr:row>
      <xdr:rowOff>219075</xdr:rowOff>
    </xdr:from>
    <xdr:to>
      <xdr:col>3</xdr:col>
      <xdr:colOff>19050</xdr:colOff>
      <xdr:row>8</xdr:row>
      <xdr:rowOff>88900</xdr:rowOff>
    </xdr:to>
    <xdr:cxnSp macro="">
      <xdr:nvCxnSpPr>
        <xdr:cNvPr id="53" name="Connettore 2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 flipV="1">
          <a:off x="1606550" y="2600325"/>
          <a:ext cx="1536700" cy="746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</xdr:row>
      <xdr:rowOff>76200</xdr:rowOff>
    </xdr:from>
    <xdr:to>
      <xdr:col>3</xdr:col>
      <xdr:colOff>0</xdr:colOff>
      <xdr:row>10</xdr:row>
      <xdr:rowOff>228600</xdr:rowOff>
    </xdr:to>
    <xdr:cxnSp macro="">
      <xdr:nvCxnSpPr>
        <xdr:cNvPr id="54" name="Connettore 2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600200" y="3333750"/>
          <a:ext cx="1524000" cy="1028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4</xdr:row>
      <xdr:rowOff>101600</xdr:rowOff>
    </xdr:from>
    <xdr:to>
      <xdr:col>2</xdr:col>
      <xdr:colOff>1514475</xdr:colOff>
      <xdr:row>10</xdr:row>
      <xdr:rowOff>219075</xdr:rowOff>
    </xdr:to>
    <xdr:cxnSp macro="">
      <xdr:nvCxnSpPr>
        <xdr:cNvPr id="55" name="Connettore 2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>
          <a:off x="1606550" y="1606550"/>
          <a:ext cx="1508125" cy="27463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2</xdr:row>
      <xdr:rowOff>76200</xdr:rowOff>
    </xdr:from>
    <xdr:to>
      <xdr:col>5</xdr:col>
      <xdr:colOff>28575</xdr:colOff>
      <xdr:row>4</xdr:row>
      <xdr:rowOff>247650</xdr:rowOff>
    </xdr:to>
    <xdr:cxnSp macro="">
      <xdr:nvCxnSpPr>
        <xdr:cNvPr id="56" name="Connettore 2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>
          <a:off x="3937000" y="704850"/>
          <a:ext cx="1435100" cy="10477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</xdr:row>
      <xdr:rowOff>88900</xdr:rowOff>
    </xdr:from>
    <xdr:to>
      <xdr:col>5</xdr:col>
      <xdr:colOff>0</xdr:colOff>
      <xdr:row>8</xdr:row>
      <xdr:rowOff>323850</xdr:rowOff>
    </xdr:to>
    <xdr:cxnSp macro="">
      <xdr:nvCxnSpPr>
        <xdr:cNvPr id="57" name="Connettore 2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3943350" y="717550"/>
          <a:ext cx="1400175" cy="2863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4</xdr:row>
      <xdr:rowOff>266700</xdr:rowOff>
    </xdr:from>
    <xdr:to>
      <xdr:col>5</xdr:col>
      <xdr:colOff>0</xdr:colOff>
      <xdr:row>10</xdr:row>
      <xdr:rowOff>120650</xdr:rowOff>
    </xdr:to>
    <xdr:cxnSp macro="">
      <xdr:nvCxnSpPr>
        <xdr:cNvPr id="58" name="Connettore 2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 flipV="1">
          <a:off x="3930650" y="1771650"/>
          <a:ext cx="1412875" cy="2482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276225</xdr:rowOff>
    </xdr:from>
    <xdr:to>
      <xdr:col>5</xdr:col>
      <xdr:colOff>19050</xdr:colOff>
      <xdr:row>10</xdr:row>
      <xdr:rowOff>127000</xdr:rowOff>
    </xdr:to>
    <xdr:cxnSp macro="">
      <xdr:nvCxnSpPr>
        <xdr:cNvPr id="59" name="Connettore 2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 flipV="1">
          <a:off x="3924300" y="3533775"/>
          <a:ext cx="1438275" cy="7270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4</xdr:row>
      <xdr:rowOff>238125</xdr:rowOff>
    </xdr:from>
    <xdr:to>
      <xdr:col>5</xdr:col>
      <xdr:colOff>19050</xdr:colOff>
      <xdr:row>6</xdr:row>
      <xdr:rowOff>66675</xdr:rowOff>
    </xdr:to>
    <xdr:cxnSp macro="">
      <xdr:nvCxnSpPr>
        <xdr:cNvPr id="60" name="Connettore 2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 flipV="1">
          <a:off x="3943350" y="1743075"/>
          <a:ext cx="1419225" cy="704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6</xdr:row>
      <xdr:rowOff>82550</xdr:rowOff>
    </xdr:from>
    <xdr:to>
      <xdr:col>5</xdr:col>
      <xdr:colOff>0</xdr:colOff>
      <xdr:row>8</xdr:row>
      <xdr:rowOff>295275</xdr:rowOff>
    </xdr:to>
    <xdr:cxnSp macro="">
      <xdr:nvCxnSpPr>
        <xdr:cNvPr id="61" name="Connettore 2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/>
      </xdr:nvCxnSpPr>
      <xdr:spPr>
        <a:xfrm>
          <a:off x="3930650" y="2463800"/>
          <a:ext cx="1412875" cy="10890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209550</xdr:rowOff>
    </xdr:from>
    <xdr:to>
      <xdr:col>7</xdr:col>
      <xdr:colOff>9525</xdr:colOff>
      <xdr:row>8</xdr:row>
      <xdr:rowOff>76200</xdr:rowOff>
    </xdr:to>
    <xdr:cxnSp macro="">
      <xdr:nvCxnSpPr>
        <xdr:cNvPr id="62" name="Connettore 2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CxnSpPr/>
      </xdr:nvCxnSpPr>
      <xdr:spPr>
        <a:xfrm flipV="1">
          <a:off x="6143625" y="2590800"/>
          <a:ext cx="1390650" cy="7429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4</xdr:row>
      <xdr:rowOff>161925</xdr:rowOff>
    </xdr:from>
    <xdr:to>
      <xdr:col>7</xdr:col>
      <xdr:colOff>28575</xdr:colOff>
      <xdr:row>6</xdr:row>
      <xdr:rowOff>238125</xdr:rowOff>
    </xdr:to>
    <xdr:cxnSp macro="">
      <xdr:nvCxnSpPr>
        <xdr:cNvPr id="63" name="Connettore 2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6172200" y="1666875"/>
          <a:ext cx="1381125" cy="952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</xdr:colOff>
      <xdr:row>6</xdr:row>
      <xdr:rowOff>231775</xdr:rowOff>
    </xdr:from>
    <xdr:to>
      <xdr:col>8</xdr:col>
      <xdr:colOff>622300</xdr:colOff>
      <xdr:row>6</xdr:row>
      <xdr:rowOff>231775</xdr:rowOff>
    </xdr:to>
    <xdr:cxnSp macro="">
      <xdr:nvCxnSpPr>
        <xdr:cNvPr id="1024" name="Connettore 2 1023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CxnSpPr/>
      </xdr:nvCxnSpPr>
      <xdr:spPr>
        <a:xfrm>
          <a:off x="8343900" y="2613025"/>
          <a:ext cx="603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2</xdr:row>
      <xdr:rowOff>323851</xdr:rowOff>
    </xdr:from>
    <xdr:to>
      <xdr:col>2</xdr:col>
      <xdr:colOff>1019175</xdr:colOff>
      <xdr:row>3</xdr:row>
      <xdr:rowOff>152401</xdr:rowOff>
    </xdr:to>
    <xdr:sp macro="" textlink="">
      <xdr:nvSpPr>
        <xdr:cNvPr id="1025" name="CasellaDiTesto 1024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 txBox="1"/>
      </xdr:nvSpPr>
      <xdr:spPr>
        <a:xfrm>
          <a:off x="2047875" y="9525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w11_1</a:t>
          </a:r>
        </a:p>
      </xdr:txBody>
    </xdr:sp>
    <xdr:clientData/>
  </xdr:twoCellAnchor>
  <xdr:twoCellAnchor>
    <xdr:from>
      <xdr:col>2</xdr:col>
      <xdr:colOff>838199</xdr:colOff>
      <xdr:row>3</xdr:row>
      <xdr:rowOff>361950</xdr:rowOff>
    </xdr:from>
    <xdr:to>
      <xdr:col>2</xdr:col>
      <xdr:colOff>1419224</xdr:colOff>
      <xdr:row>4</xdr:row>
      <xdr:rowOff>142875</xdr:rowOff>
    </xdr:to>
    <xdr:sp macro="" textlink="">
      <xdr:nvSpPr>
        <xdr:cNvPr id="1026" name="CasellaDiTesto 1025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 txBox="1"/>
      </xdr:nvSpPr>
      <xdr:spPr>
        <a:xfrm>
          <a:off x="2438399" y="1428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w12_1</a:t>
          </a:r>
        </a:p>
      </xdr:txBody>
    </xdr:sp>
    <xdr:clientData/>
  </xdr:twoCellAnchor>
  <xdr:twoCellAnchor>
    <xdr:from>
      <xdr:col>2</xdr:col>
      <xdr:colOff>838199</xdr:colOff>
      <xdr:row>5</xdr:row>
      <xdr:rowOff>257175</xdr:rowOff>
    </xdr:from>
    <xdr:to>
      <xdr:col>2</xdr:col>
      <xdr:colOff>1419224</xdr:colOff>
      <xdr:row>6</xdr:row>
      <xdr:rowOff>38100</xdr:rowOff>
    </xdr:to>
    <xdr:sp macro="" textlink="">
      <xdr:nvSpPr>
        <xdr:cNvPr id="1027" name="CasellaDiTesto 1026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 txBox="1"/>
      </xdr:nvSpPr>
      <xdr:spPr>
        <a:xfrm>
          <a:off x="2438399" y="22002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w11_2</a:t>
          </a:r>
        </a:p>
      </xdr:txBody>
    </xdr:sp>
    <xdr:clientData/>
  </xdr:twoCellAnchor>
  <xdr:twoCellAnchor>
    <xdr:from>
      <xdr:col>2</xdr:col>
      <xdr:colOff>790574</xdr:colOff>
      <xdr:row>8</xdr:row>
      <xdr:rowOff>133350</xdr:rowOff>
    </xdr:from>
    <xdr:to>
      <xdr:col>2</xdr:col>
      <xdr:colOff>1371599</xdr:colOff>
      <xdr:row>8</xdr:row>
      <xdr:rowOff>352425</xdr:rowOff>
    </xdr:to>
    <xdr:sp macro="" textlink="">
      <xdr:nvSpPr>
        <xdr:cNvPr id="1028" name="CasellaDiTesto 1027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SpPr txBox="1"/>
      </xdr:nvSpPr>
      <xdr:spPr>
        <a:xfrm>
          <a:off x="2390774" y="33909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w11_3</a:t>
          </a:r>
        </a:p>
      </xdr:txBody>
    </xdr:sp>
    <xdr:clientData/>
  </xdr:twoCellAnchor>
  <xdr:twoCellAnchor>
    <xdr:from>
      <xdr:col>2</xdr:col>
      <xdr:colOff>542924</xdr:colOff>
      <xdr:row>9</xdr:row>
      <xdr:rowOff>57150</xdr:rowOff>
    </xdr:from>
    <xdr:to>
      <xdr:col>2</xdr:col>
      <xdr:colOff>1123949</xdr:colOff>
      <xdr:row>9</xdr:row>
      <xdr:rowOff>276225</xdr:rowOff>
    </xdr:to>
    <xdr:sp macro="" textlink="">
      <xdr:nvSpPr>
        <xdr:cNvPr id="1029" name="CasellaDiTesto 1028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SpPr txBox="1"/>
      </xdr:nvSpPr>
      <xdr:spPr>
        <a:xfrm>
          <a:off x="2143124" y="37528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w12_3</a:t>
          </a:r>
        </a:p>
      </xdr:txBody>
    </xdr:sp>
    <xdr:clientData/>
  </xdr:twoCellAnchor>
  <xdr:twoCellAnchor>
    <xdr:from>
      <xdr:col>2</xdr:col>
      <xdr:colOff>800099</xdr:colOff>
      <xdr:row>6</xdr:row>
      <xdr:rowOff>295275</xdr:rowOff>
    </xdr:from>
    <xdr:to>
      <xdr:col>2</xdr:col>
      <xdr:colOff>1381124</xdr:colOff>
      <xdr:row>7</xdr:row>
      <xdr:rowOff>76200</xdr:rowOff>
    </xdr:to>
    <xdr:sp macro="" textlink="">
      <xdr:nvSpPr>
        <xdr:cNvPr id="1030" name="CasellaDiTesto 1029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SpPr txBox="1"/>
      </xdr:nvSpPr>
      <xdr:spPr>
        <a:xfrm>
          <a:off x="2400299" y="267652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w12_2</a:t>
          </a:r>
        </a:p>
      </xdr:txBody>
    </xdr:sp>
    <xdr:clientData/>
  </xdr:twoCellAnchor>
  <xdr:twoCellAnchor>
    <xdr:from>
      <xdr:col>4</xdr:col>
      <xdr:colOff>381000</xdr:colOff>
      <xdr:row>2</xdr:row>
      <xdr:rowOff>266701</xdr:rowOff>
    </xdr:from>
    <xdr:to>
      <xdr:col>4</xdr:col>
      <xdr:colOff>952500</xdr:colOff>
      <xdr:row>3</xdr:row>
      <xdr:rowOff>95251</xdr:rowOff>
    </xdr:to>
    <xdr:sp macro="" textlink="">
      <xdr:nvSpPr>
        <xdr:cNvPr id="1031" name="CasellaDiTesto 1030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SpPr txBox="1"/>
      </xdr:nvSpPr>
      <xdr:spPr>
        <a:xfrm>
          <a:off x="4305300" y="8953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w21_1</a:t>
          </a:r>
        </a:p>
      </xdr:txBody>
    </xdr:sp>
    <xdr:clientData/>
  </xdr:twoCellAnchor>
  <xdr:twoCellAnchor>
    <xdr:from>
      <xdr:col>4</xdr:col>
      <xdr:colOff>209549</xdr:colOff>
      <xdr:row>4</xdr:row>
      <xdr:rowOff>85725</xdr:rowOff>
    </xdr:from>
    <xdr:to>
      <xdr:col>4</xdr:col>
      <xdr:colOff>790574</xdr:colOff>
      <xdr:row>4</xdr:row>
      <xdr:rowOff>304800</xdr:rowOff>
    </xdr:to>
    <xdr:sp macro="" textlink="">
      <xdr:nvSpPr>
        <xdr:cNvPr id="1032" name="CasellaDiTesto 1031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SpPr txBox="1"/>
      </xdr:nvSpPr>
      <xdr:spPr>
        <a:xfrm>
          <a:off x="4133849" y="15906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w21_2</a:t>
          </a:r>
        </a:p>
      </xdr:txBody>
    </xdr:sp>
    <xdr:clientData/>
  </xdr:twoCellAnchor>
  <xdr:twoCellAnchor>
    <xdr:from>
      <xdr:col>4</xdr:col>
      <xdr:colOff>9524</xdr:colOff>
      <xdr:row>5</xdr:row>
      <xdr:rowOff>152400</xdr:rowOff>
    </xdr:from>
    <xdr:to>
      <xdr:col>4</xdr:col>
      <xdr:colOff>590549</xdr:colOff>
      <xdr:row>5</xdr:row>
      <xdr:rowOff>371475</xdr:rowOff>
    </xdr:to>
    <xdr:sp macro="" textlink="">
      <xdr:nvSpPr>
        <xdr:cNvPr id="1035" name="CasellaDiTesto 1034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SpPr txBox="1"/>
      </xdr:nvSpPr>
      <xdr:spPr>
        <a:xfrm>
          <a:off x="3933824" y="20955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w22_1</a:t>
          </a:r>
        </a:p>
      </xdr:txBody>
    </xdr:sp>
    <xdr:clientData/>
  </xdr:twoCellAnchor>
  <xdr:twoCellAnchor>
    <xdr:from>
      <xdr:col>4</xdr:col>
      <xdr:colOff>104774</xdr:colOff>
      <xdr:row>6</xdr:row>
      <xdr:rowOff>190500</xdr:rowOff>
    </xdr:from>
    <xdr:to>
      <xdr:col>4</xdr:col>
      <xdr:colOff>685799</xdr:colOff>
      <xdr:row>6</xdr:row>
      <xdr:rowOff>409575</xdr:rowOff>
    </xdr:to>
    <xdr:sp macro="" textlink="">
      <xdr:nvSpPr>
        <xdr:cNvPr id="1036" name="CasellaDiTesto 1035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SpPr txBox="1"/>
      </xdr:nvSpPr>
      <xdr:spPr>
        <a:xfrm>
          <a:off x="4029074" y="2571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w22_2</a:t>
          </a:r>
        </a:p>
      </xdr:txBody>
    </xdr:sp>
    <xdr:clientData/>
  </xdr:twoCellAnchor>
  <xdr:twoCellAnchor>
    <xdr:from>
      <xdr:col>4</xdr:col>
      <xdr:colOff>171449</xdr:colOff>
      <xdr:row>7</xdr:row>
      <xdr:rowOff>409575</xdr:rowOff>
    </xdr:from>
    <xdr:to>
      <xdr:col>4</xdr:col>
      <xdr:colOff>752474</xdr:colOff>
      <xdr:row>8</xdr:row>
      <xdr:rowOff>190500</xdr:rowOff>
    </xdr:to>
    <xdr:sp macro="" textlink="">
      <xdr:nvSpPr>
        <xdr:cNvPr id="1037" name="CasellaDiTesto 1036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SpPr txBox="1"/>
      </xdr:nvSpPr>
      <xdr:spPr>
        <a:xfrm>
          <a:off x="4095749" y="32289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w23_1</a:t>
          </a:r>
        </a:p>
      </xdr:txBody>
    </xdr:sp>
    <xdr:clientData/>
  </xdr:twoCellAnchor>
  <xdr:twoCellAnchor>
    <xdr:from>
      <xdr:col>4</xdr:col>
      <xdr:colOff>400049</xdr:colOff>
      <xdr:row>9</xdr:row>
      <xdr:rowOff>104775</xdr:rowOff>
    </xdr:from>
    <xdr:to>
      <xdr:col>4</xdr:col>
      <xdr:colOff>981074</xdr:colOff>
      <xdr:row>9</xdr:row>
      <xdr:rowOff>323850</xdr:rowOff>
    </xdr:to>
    <xdr:sp macro="" textlink="">
      <xdr:nvSpPr>
        <xdr:cNvPr id="1038" name="CasellaDiTesto 1037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SpPr txBox="1"/>
      </xdr:nvSpPr>
      <xdr:spPr>
        <a:xfrm>
          <a:off x="4324349" y="38004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w23_2</a:t>
          </a:r>
        </a:p>
      </xdr:txBody>
    </xdr:sp>
    <xdr:clientData/>
  </xdr:twoCellAnchor>
  <xdr:twoCellAnchor>
    <xdr:from>
      <xdr:col>6</xdr:col>
      <xdr:colOff>381000</xdr:colOff>
      <xdr:row>4</xdr:row>
      <xdr:rowOff>342901</xdr:rowOff>
    </xdr:from>
    <xdr:to>
      <xdr:col>6</xdr:col>
      <xdr:colOff>952500</xdr:colOff>
      <xdr:row>5</xdr:row>
      <xdr:rowOff>171451</xdr:rowOff>
    </xdr:to>
    <xdr:sp macro="" textlink="">
      <xdr:nvSpPr>
        <xdr:cNvPr id="1039" name="CasellaDiTesto 1038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SpPr txBox="1"/>
      </xdr:nvSpPr>
      <xdr:spPr>
        <a:xfrm>
          <a:off x="6524625" y="18478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w31_1</a:t>
          </a:r>
        </a:p>
      </xdr:txBody>
    </xdr:sp>
    <xdr:clientData/>
  </xdr:twoCellAnchor>
  <xdr:twoCellAnchor>
    <xdr:from>
      <xdr:col>6</xdr:col>
      <xdr:colOff>428625</xdr:colOff>
      <xdr:row>7</xdr:row>
      <xdr:rowOff>1</xdr:rowOff>
    </xdr:from>
    <xdr:to>
      <xdr:col>6</xdr:col>
      <xdr:colOff>1000125</xdr:colOff>
      <xdr:row>7</xdr:row>
      <xdr:rowOff>266701</xdr:rowOff>
    </xdr:to>
    <xdr:sp macro="" textlink="">
      <xdr:nvSpPr>
        <xdr:cNvPr id="1040" name="CasellaDiTesto 1039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SpPr txBox="1"/>
      </xdr:nvSpPr>
      <xdr:spPr>
        <a:xfrm>
          <a:off x="6572250" y="28194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w32_1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2</xdr:row>
          <xdr:rowOff>266700</xdr:rowOff>
        </xdr:from>
        <xdr:to>
          <xdr:col>16</xdr:col>
          <xdr:colOff>314325</xdr:colOff>
          <xdr:row>5</xdr:row>
          <xdr:rowOff>314325</xdr:rowOff>
        </xdr:to>
        <xdr:sp macro="" textlink="">
          <xdr:nvSpPr>
            <xdr:cNvPr id="2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ADDESTRA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6</xdr:row>
          <xdr:rowOff>142875</xdr:rowOff>
        </xdr:from>
        <xdr:to>
          <xdr:col>16</xdr:col>
          <xdr:colOff>314325</xdr:colOff>
          <xdr:row>9</xdr:row>
          <xdr:rowOff>190500</xdr:rowOff>
        </xdr:to>
        <xdr:sp macro="" textlink="">
          <xdr:nvSpPr>
            <xdr:cNvPr id="5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CE2BA-422A-43F6-812C-C7F8E4C02974}">
  <sheetPr codeName="Foglio2"/>
  <dimension ref="A1:C60"/>
  <sheetViews>
    <sheetView zoomScale="80" zoomScaleNormal="80" workbookViewId="0">
      <selection activeCell="A2" sqref="A2:B60"/>
    </sheetView>
  </sheetViews>
  <sheetFormatPr defaultRowHeight="15" x14ac:dyDescent="0.25"/>
  <sheetData>
    <row r="1" spans="1:3" x14ac:dyDescent="0.25">
      <c r="A1" s="24" t="s">
        <v>0</v>
      </c>
      <c r="B1" s="24" t="s">
        <v>1</v>
      </c>
      <c r="C1" s="24" t="s">
        <v>8</v>
      </c>
    </row>
    <row r="2" spans="1:3" x14ac:dyDescent="0.25">
      <c r="A2">
        <v>25</v>
      </c>
      <c r="B2">
        <v>1</v>
      </c>
      <c r="C2">
        <v>0</v>
      </c>
    </row>
    <row r="3" spans="1:3" x14ac:dyDescent="0.25">
      <c r="A3">
        <v>2</v>
      </c>
      <c r="B3">
        <v>1</v>
      </c>
      <c r="C3">
        <v>0</v>
      </c>
    </row>
    <row r="4" spans="1:3" x14ac:dyDescent="0.25">
      <c r="A4">
        <v>8</v>
      </c>
      <c r="B4">
        <v>22</v>
      </c>
      <c r="C4">
        <v>0</v>
      </c>
    </row>
    <row r="5" spans="1:3" x14ac:dyDescent="0.25">
      <c r="A5">
        <v>3</v>
      </c>
      <c r="B5">
        <v>19</v>
      </c>
      <c r="C5">
        <v>0</v>
      </c>
    </row>
    <row r="6" spans="1:3" x14ac:dyDescent="0.25">
      <c r="A6">
        <v>17</v>
      </c>
      <c r="B6">
        <v>22</v>
      </c>
      <c r="C6">
        <v>0</v>
      </c>
    </row>
    <row r="7" spans="1:3" x14ac:dyDescent="0.25">
      <c r="A7">
        <v>21</v>
      </c>
      <c r="B7">
        <v>28</v>
      </c>
      <c r="C7">
        <v>0</v>
      </c>
    </row>
    <row r="8" spans="1:3" x14ac:dyDescent="0.25">
      <c r="A8">
        <v>0</v>
      </c>
      <c r="B8">
        <v>28</v>
      </c>
      <c r="C8">
        <v>0</v>
      </c>
    </row>
    <row r="9" spans="1:3" x14ac:dyDescent="0.25">
      <c r="A9">
        <v>24</v>
      </c>
      <c r="B9">
        <v>0</v>
      </c>
      <c r="C9">
        <v>0</v>
      </c>
    </row>
    <row r="10" spans="1:3" x14ac:dyDescent="0.25">
      <c r="A10">
        <v>0</v>
      </c>
      <c r="B10">
        <v>19</v>
      </c>
      <c r="C10">
        <v>0</v>
      </c>
    </row>
    <row r="11" spans="1:3" x14ac:dyDescent="0.25">
      <c r="A11">
        <v>24</v>
      </c>
      <c r="B11">
        <v>5</v>
      </c>
      <c r="C11">
        <v>0</v>
      </c>
    </row>
    <row r="12" spans="1:3" x14ac:dyDescent="0.25">
      <c r="A12">
        <v>6</v>
      </c>
      <c r="B12">
        <v>29</v>
      </c>
      <c r="C12">
        <v>0</v>
      </c>
    </row>
    <row r="13" spans="1:3" x14ac:dyDescent="0.25">
      <c r="A13">
        <v>2</v>
      </c>
      <c r="B13">
        <v>5</v>
      </c>
      <c r="C13">
        <v>0</v>
      </c>
    </row>
    <row r="14" spans="1:3" x14ac:dyDescent="0.25">
      <c r="A14">
        <v>23</v>
      </c>
      <c r="B14">
        <v>16</v>
      </c>
      <c r="C14">
        <v>0</v>
      </c>
    </row>
    <row r="15" spans="1:3" x14ac:dyDescent="0.25">
      <c r="A15">
        <v>25</v>
      </c>
      <c r="B15">
        <v>2</v>
      </c>
      <c r="C15">
        <v>0</v>
      </c>
    </row>
    <row r="16" spans="1:3" x14ac:dyDescent="0.25">
      <c r="A16">
        <v>25</v>
      </c>
      <c r="B16">
        <v>17</v>
      </c>
      <c r="C16">
        <v>0</v>
      </c>
    </row>
    <row r="17" spans="1:3" x14ac:dyDescent="0.25">
      <c r="A17">
        <v>23</v>
      </c>
      <c r="B17">
        <v>9</v>
      </c>
      <c r="C17">
        <v>0</v>
      </c>
    </row>
    <row r="18" spans="1:3" x14ac:dyDescent="0.25">
      <c r="A18">
        <v>0</v>
      </c>
      <c r="B18">
        <v>25</v>
      </c>
      <c r="C18">
        <v>0</v>
      </c>
    </row>
    <row r="19" spans="1:3" x14ac:dyDescent="0.25">
      <c r="A19">
        <v>13</v>
      </c>
      <c r="B19">
        <v>24</v>
      </c>
      <c r="C19">
        <v>0</v>
      </c>
    </row>
    <row r="20" spans="1:3" x14ac:dyDescent="0.25">
      <c r="A20">
        <v>11</v>
      </c>
      <c r="B20">
        <v>24</v>
      </c>
      <c r="C20">
        <v>0</v>
      </c>
    </row>
    <row r="21" spans="1:3" x14ac:dyDescent="0.25">
      <c r="A21">
        <v>20</v>
      </c>
      <c r="B21">
        <v>18</v>
      </c>
      <c r="C21">
        <v>0</v>
      </c>
    </row>
    <row r="22" spans="1:3" x14ac:dyDescent="0.25">
      <c r="A22">
        <v>21</v>
      </c>
      <c r="B22">
        <v>4</v>
      </c>
      <c r="C22">
        <v>0</v>
      </c>
    </row>
    <row r="23" spans="1:3" x14ac:dyDescent="0.25">
      <c r="A23">
        <v>2</v>
      </c>
      <c r="B23">
        <v>3</v>
      </c>
      <c r="C23">
        <v>0</v>
      </c>
    </row>
    <row r="24" spans="1:3" x14ac:dyDescent="0.25">
      <c r="A24">
        <v>8</v>
      </c>
      <c r="B24">
        <v>24</v>
      </c>
      <c r="C24">
        <v>0</v>
      </c>
    </row>
    <row r="25" spans="1:3" x14ac:dyDescent="0.25">
      <c r="A25">
        <v>11</v>
      </c>
      <c r="B25">
        <v>9</v>
      </c>
      <c r="C25">
        <v>0</v>
      </c>
    </row>
    <row r="26" spans="1:3" x14ac:dyDescent="0.25">
      <c r="A26">
        <v>21</v>
      </c>
      <c r="B26">
        <v>30</v>
      </c>
      <c r="C26">
        <v>0</v>
      </c>
    </row>
    <row r="27" spans="1:3" x14ac:dyDescent="0.25">
      <c r="A27">
        <v>20</v>
      </c>
      <c r="B27">
        <v>1</v>
      </c>
      <c r="C27">
        <v>0</v>
      </c>
    </row>
    <row r="28" spans="1:3" x14ac:dyDescent="0.25">
      <c r="A28">
        <v>3</v>
      </c>
      <c r="B28">
        <v>19</v>
      </c>
      <c r="C28">
        <v>0</v>
      </c>
    </row>
    <row r="29" spans="1:3" x14ac:dyDescent="0.25">
      <c r="A29">
        <v>24</v>
      </c>
      <c r="B29">
        <v>5</v>
      </c>
      <c r="C29">
        <v>0</v>
      </c>
    </row>
    <row r="30" spans="1:3" x14ac:dyDescent="0.25">
      <c r="A30">
        <v>24</v>
      </c>
      <c r="B30">
        <v>2</v>
      </c>
      <c r="C30">
        <v>0</v>
      </c>
    </row>
    <row r="31" spans="1:3" x14ac:dyDescent="0.25">
      <c r="A31">
        <v>44</v>
      </c>
      <c r="B31">
        <v>44</v>
      </c>
      <c r="C31">
        <v>1</v>
      </c>
    </row>
    <row r="32" spans="1:3" x14ac:dyDescent="0.25">
      <c r="A32">
        <v>37</v>
      </c>
      <c r="B32">
        <v>43</v>
      </c>
      <c r="C32">
        <v>1</v>
      </c>
    </row>
    <row r="33" spans="1:3" x14ac:dyDescent="0.25">
      <c r="A33">
        <v>33</v>
      </c>
      <c r="B33">
        <v>41</v>
      </c>
      <c r="C33">
        <v>1</v>
      </c>
    </row>
    <row r="34" spans="1:3" x14ac:dyDescent="0.25">
      <c r="A34">
        <v>36</v>
      </c>
      <c r="B34">
        <v>50</v>
      </c>
      <c r="C34">
        <v>1</v>
      </c>
    </row>
    <row r="35" spans="1:3" x14ac:dyDescent="0.25">
      <c r="A35">
        <v>46</v>
      </c>
      <c r="B35">
        <v>65</v>
      </c>
      <c r="C35">
        <v>1</v>
      </c>
    </row>
    <row r="36" spans="1:3" x14ac:dyDescent="0.25">
      <c r="A36">
        <v>36</v>
      </c>
      <c r="B36">
        <v>55</v>
      </c>
      <c r="C36">
        <v>1</v>
      </c>
    </row>
    <row r="37" spans="1:3" x14ac:dyDescent="0.25">
      <c r="A37">
        <v>48</v>
      </c>
      <c r="B37">
        <v>67</v>
      </c>
      <c r="C37">
        <v>1</v>
      </c>
    </row>
    <row r="38" spans="1:3" x14ac:dyDescent="0.25">
      <c r="A38">
        <v>50</v>
      </c>
      <c r="B38">
        <v>62</v>
      </c>
      <c r="C38">
        <v>1</v>
      </c>
    </row>
    <row r="39" spans="1:3" x14ac:dyDescent="0.25">
      <c r="A39">
        <v>57</v>
      </c>
      <c r="B39">
        <v>67</v>
      </c>
      <c r="C39">
        <v>1</v>
      </c>
    </row>
    <row r="40" spans="1:3" x14ac:dyDescent="0.25">
      <c r="A40">
        <v>31</v>
      </c>
      <c r="B40">
        <v>59</v>
      </c>
      <c r="C40">
        <v>1</v>
      </c>
    </row>
    <row r="41" spans="1:3" x14ac:dyDescent="0.25">
      <c r="A41">
        <v>31</v>
      </c>
      <c r="B41">
        <v>66</v>
      </c>
      <c r="C41">
        <v>1</v>
      </c>
    </row>
    <row r="42" spans="1:3" x14ac:dyDescent="0.25">
      <c r="A42">
        <v>57</v>
      </c>
      <c r="B42">
        <v>40</v>
      </c>
      <c r="C42">
        <v>1</v>
      </c>
    </row>
    <row r="43" spans="1:3" x14ac:dyDescent="0.25">
      <c r="A43">
        <v>56</v>
      </c>
      <c r="B43">
        <v>69</v>
      </c>
      <c r="C43">
        <v>1</v>
      </c>
    </row>
    <row r="44" spans="1:3" x14ac:dyDescent="0.25">
      <c r="A44">
        <v>51</v>
      </c>
      <c r="B44">
        <v>58</v>
      </c>
      <c r="C44">
        <v>1</v>
      </c>
    </row>
    <row r="45" spans="1:3" x14ac:dyDescent="0.25">
      <c r="A45">
        <v>30</v>
      </c>
      <c r="B45">
        <v>45</v>
      </c>
      <c r="C45">
        <v>1</v>
      </c>
    </row>
    <row r="46" spans="1:3" x14ac:dyDescent="0.25">
      <c r="A46">
        <v>33</v>
      </c>
      <c r="B46">
        <v>64</v>
      </c>
      <c r="C46">
        <v>1</v>
      </c>
    </row>
    <row r="47" spans="1:3" x14ac:dyDescent="0.25">
      <c r="A47">
        <v>43</v>
      </c>
      <c r="B47">
        <v>65</v>
      </c>
      <c r="C47">
        <v>1</v>
      </c>
    </row>
    <row r="48" spans="1:3" x14ac:dyDescent="0.25">
      <c r="A48">
        <v>49</v>
      </c>
      <c r="B48">
        <v>48</v>
      </c>
      <c r="C48">
        <v>1</v>
      </c>
    </row>
    <row r="49" spans="1:3" x14ac:dyDescent="0.25">
      <c r="A49">
        <v>40</v>
      </c>
      <c r="B49">
        <v>55</v>
      </c>
      <c r="C49">
        <v>1</v>
      </c>
    </row>
    <row r="50" spans="1:3" x14ac:dyDescent="0.25">
      <c r="A50">
        <v>56</v>
      </c>
      <c r="B50">
        <v>42</v>
      </c>
      <c r="C50">
        <v>1</v>
      </c>
    </row>
    <row r="51" spans="1:3" x14ac:dyDescent="0.25">
      <c r="A51">
        <v>40</v>
      </c>
      <c r="B51">
        <v>55</v>
      </c>
      <c r="C51">
        <v>1</v>
      </c>
    </row>
    <row r="52" spans="1:3" x14ac:dyDescent="0.25">
      <c r="A52">
        <v>41</v>
      </c>
      <c r="B52">
        <v>57</v>
      </c>
      <c r="C52">
        <v>1</v>
      </c>
    </row>
    <row r="53" spans="1:3" x14ac:dyDescent="0.25">
      <c r="A53">
        <v>47</v>
      </c>
      <c r="B53">
        <v>48</v>
      </c>
      <c r="C53">
        <v>1</v>
      </c>
    </row>
    <row r="54" spans="1:3" x14ac:dyDescent="0.25">
      <c r="A54">
        <v>46</v>
      </c>
      <c r="B54">
        <v>64</v>
      </c>
      <c r="C54">
        <v>1</v>
      </c>
    </row>
    <row r="55" spans="1:3" x14ac:dyDescent="0.25">
      <c r="A55">
        <v>38</v>
      </c>
      <c r="B55">
        <v>54</v>
      </c>
      <c r="C55">
        <v>1</v>
      </c>
    </row>
    <row r="56" spans="1:3" x14ac:dyDescent="0.25">
      <c r="A56">
        <v>60</v>
      </c>
      <c r="B56">
        <v>59</v>
      </c>
      <c r="C56">
        <v>1</v>
      </c>
    </row>
    <row r="57" spans="1:3" x14ac:dyDescent="0.25">
      <c r="A57">
        <v>53</v>
      </c>
      <c r="B57">
        <v>41</v>
      </c>
      <c r="C57">
        <v>1</v>
      </c>
    </row>
    <row r="58" spans="1:3" x14ac:dyDescent="0.25">
      <c r="A58">
        <v>36</v>
      </c>
      <c r="B58">
        <v>52</v>
      </c>
      <c r="C58">
        <v>1</v>
      </c>
    </row>
    <row r="59" spans="1:3" x14ac:dyDescent="0.25">
      <c r="A59">
        <v>47</v>
      </c>
      <c r="B59">
        <v>63</v>
      </c>
      <c r="C59">
        <v>1</v>
      </c>
    </row>
    <row r="60" spans="1:3" x14ac:dyDescent="0.25">
      <c r="A60">
        <v>40</v>
      </c>
      <c r="B60">
        <v>55</v>
      </c>
      <c r="C6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77D6-55C1-4570-8DCE-8DEA296AB9E3}">
  <sheetPr codeName="Foglio3"/>
  <dimension ref="A1:BL60"/>
  <sheetViews>
    <sheetView topLeftCell="A12" zoomScale="80" zoomScaleNormal="80" workbookViewId="0">
      <selection activeCell="AB2" sqref="AB2"/>
    </sheetView>
  </sheetViews>
  <sheetFormatPr defaultRowHeight="15" x14ac:dyDescent="0.25"/>
  <cols>
    <col min="13" max="14" width="11.42578125" bestFit="1" customWidth="1"/>
    <col min="15" max="15" width="10.28515625" bestFit="1" customWidth="1"/>
    <col min="26" max="27" width="10.28515625" bestFit="1" customWidth="1"/>
    <col min="34" max="44" width="10.28515625" customWidth="1"/>
    <col min="45" max="47" width="12.7109375" bestFit="1" customWidth="1"/>
    <col min="48" max="49" width="13.7109375" bestFit="1" customWidth="1"/>
    <col min="50" max="50" width="13" bestFit="1" customWidth="1"/>
    <col min="51" max="51" width="13.7109375" bestFit="1" customWidth="1"/>
    <col min="52" max="52" width="11.28515625" bestFit="1" customWidth="1"/>
    <col min="53" max="53" width="13.7109375" bestFit="1" customWidth="1"/>
    <col min="54" max="55" width="12.7109375" bestFit="1" customWidth="1"/>
    <col min="56" max="56" width="13.7109375" bestFit="1" customWidth="1"/>
    <col min="57" max="57" width="12.7109375" bestFit="1" customWidth="1"/>
    <col min="58" max="61" width="13.7109375" bestFit="1" customWidth="1"/>
    <col min="62" max="62" width="12.7109375" bestFit="1" customWidth="1"/>
    <col min="63" max="64" width="13.7109375" bestFit="1" customWidth="1"/>
  </cols>
  <sheetData>
    <row r="1" spans="1:64" ht="15.75" thickBot="1" x14ac:dyDescent="0.3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 t="s">
        <v>24</v>
      </c>
      <c r="I1" s="3" t="s">
        <v>25</v>
      </c>
      <c r="J1" s="7" t="s">
        <v>26</v>
      </c>
      <c r="K1" s="6" t="s">
        <v>27</v>
      </c>
      <c r="L1" s="6" t="s">
        <v>28</v>
      </c>
      <c r="M1" s="7" t="s">
        <v>2</v>
      </c>
      <c r="N1" s="6" t="s">
        <v>3</v>
      </c>
      <c r="O1" s="6" t="s">
        <v>4</v>
      </c>
      <c r="P1" s="9" t="s">
        <v>29</v>
      </c>
      <c r="Q1" s="4" t="s">
        <v>30</v>
      </c>
      <c r="R1" s="4" t="s">
        <v>31</v>
      </c>
      <c r="S1" s="4" t="s">
        <v>32</v>
      </c>
      <c r="T1" s="4" t="s">
        <v>33</v>
      </c>
      <c r="U1" s="4" t="s">
        <v>34</v>
      </c>
      <c r="V1" s="4" t="s">
        <v>35</v>
      </c>
      <c r="W1" s="4" t="s">
        <v>36</v>
      </c>
      <c r="X1" s="9" t="s">
        <v>39</v>
      </c>
      <c r="Y1" s="4" t="s">
        <v>40</v>
      </c>
      <c r="Z1" s="9" t="s">
        <v>5</v>
      </c>
      <c r="AA1" s="4" t="s">
        <v>6</v>
      </c>
      <c r="AB1" s="10" t="s">
        <v>37</v>
      </c>
      <c r="AC1" s="5" t="s">
        <v>38</v>
      </c>
      <c r="AD1" s="5" t="s">
        <v>53</v>
      </c>
      <c r="AE1" s="5" t="s">
        <v>60</v>
      </c>
      <c r="AF1" s="13" t="s">
        <v>41</v>
      </c>
      <c r="AG1" s="13" t="s">
        <v>44</v>
      </c>
      <c r="AH1" s="16" t="s">
        <v>58</v>
      </c>
      <c r="AI1" s="36" t="s">
        <v>54</v>
      </c>
      <c r="AJ1" s="37"/>
      <c r="AK1" s="36" t="s">
        <v>55</v>
      </c>
      <c r="AL1" s="37"/>
      <c r="AM1" s="29"/>
      <c r="AN1" s="29" t="s">
        <v>57</v>
      </c>
      <c r="AO1" s="29"/>
      <c r="AP1" s="36" t="s">
        <v>56</v>
      </c>
      <c r="AQ1" s="38"/>
      <c r="AR1" s="37"/>
      <c r="AS1" s="3" t="str">
        <f>"delta"&amp;A1</f>
        <v>deltabeta1_1</v>
      </c>
      <c r="AT1" s="3" t="str">
        <f t="shared" ref="AT1:BA1" si="0">"delta"&amp;B1</f>
        <v>deltabeta1_2</v>
      </c>
      <c r="AU1" s="3" t="str">
        <f t="shared" si="0"/>
        <v>deltabeta1_3</v>
      </c>
      <c r="AV1" s="3" t="str">
        <f t="shared" si="0"/>
        <v>deltaw11_1</v>
      </c>
      <c r="AW1" s="3" t="str">
        <f t="shared" si="0"/>
        <v>deltaw11_2</v>
      </c>
      <c r="AX1" s="3" t="str">
        <f t="shared" si="0"/>
        <v>deltaw11_3</v>
      </c>
      <c r="AY1" s="3" t="str">
        <f t="shared" si="0"/>
        <v>deltaw12_1</v>
      </c>
      <c r="AZ1" s="3" t="str">
        <f t="shared" si="0"/>
        <v>deltaw12_2</v>
      </c>
      <c r="BA1" s="3" t="str">
        <f t="shared" si="0"/>
        <v>deltaw12_3</v>
      </c>
      <c r="BB1" s="4" t="str">
        <f t="shared" ref="BB1:BG1" si="1">"delta"&amp;P1</f>
        <v>deltabeta2_1</v>
      </c>
      <c r="BC1" s="4" t="str">
        <f t="shared" si="1"/>
        <v>deltabeta2_2</v>
      </c>
      <c r="BD1" s="4" t="str">
        <f t="shared" si="1"/>
        <v>deltaw21_1</v>
      </c>
      <c r="BE1" s="4" t="str">
        <f t="shared" si="1"/>
        <v>deltaw21_2</v>
      </c>
      <c r="BF1" s="4" t="str">
        <f t="shared" si="1"/>
        <v>deltaw22_1</v>
      </c>
      <c r="BG1" s="4" t="str">
        <f t="shared" si="1"/>
        <v>deltaw22_2</v>
      </c>
      <c r="BH1" s="4" t="str">
        <f t="shared" ref="BH1:BI1" si="2">"delta"&amp;V1</f>
        <v>deltaw23_1</v>
      </c>
      <c r="BI1" s="4" t="str">
        <f t="shared" si="2"/>
        <v>deltaw23_2</v>
      </c>
      <c r="BJ1" s="5" t="str">
        <f>"delta"&amp;AB1</f>
        <v>deltabeta3</v>
      </c>
      <c r="BK1" s="5" t="str">
        <f>"delta"&amp;AC1</f>
        <v>deltaw31_1</v>
      </c>
      <c r="BL1" s="5" t="str">
        <f>"delta"&amp;AD1</f>
        <v>deltaw32_1</v>
      </c>
    </row>
    <row r="2" spans="1:64" x14ac:dyDescent="0.25">
      <c r="A2">
        <v>4.9644321621308601E-4</v>
      </c>
      <c r="B2">
        <v>5.3406074421127811E-3</v>
      </c>
      <c r="C2">
        <v>-8.9299094676971429E-3</v>
      </c>
      <c r="D2">
        <v>2.321106095693239E-2</v>
      </c>
      <c r="E2">
        <v>1.9297986225303217E-2</v>
      </c>
      <c r="F2">
        <v>-4.036691188812256E-3</v>
      </c>
      <c r="G2">
        <v>3.0580544679023748E-2</v>
      </c>
      <c r="H2">
        <v>2.9090715820934809E-2</v>
      </c>
      <c r="I2">
        <v>-4.7241413593292238E-3</v>
      </c>
      <c r="J2" cm="1">
        <f t="array" ref="J2:J60">beta1_1+w11_1*X_1+w12_1*X_2</f>
        <v>0.61135351181854658</v>
      </c>
      <c r="K2" cm="1">
        <f t="array" ref="K2:K60">beta1_2+w11_2*X_1+w12_2*X_2</f>
        <v>0.51688097889562801</v>
      </c>
      <c r="L2" cm="1">
        <f t="array" ref="L2:L60">beta1_3+w11_3*X_1+w12_3*X_2</f>
        <v>-0.11457133054733276</v>
      </c>
      <c r="M2" s="30" cm="1">
        <f t="array" ref="M2:M60">IF(z1_1&gt;0,1/(1+EXP(z1_1)),0)</f>
        <v>0.351750505434899</v>
      </c>
      <c r="N2" s="30" cm="1">
        <f t="array" ref="N2:N60">IF(z1_2&gt;0,1/(1+EXP(z1_2)),0)</f>
        <v>0.37358185389707554</v>
      </c>
      <c r="O2" s="30" cm="1">
        <f t="array" ref="O2:O60">IF(z1_3&gt;0,1/(1+EXP(z1_3)),0)</f>
        <v>0</v>
      </c>
      <c r="P2" s="8">
        <v>-4.4696621966722585E-3</v>
      </c>
      <c r="Q2">
        <v>1.4342000804717247E-2</v>
      </c>
      <c r="R2">
        <v>3.8148098690204014E-5</v>
      </c>
      <c r="S2">
        <v>-5.659285232213021E-2</v>
      </c>
      <c r="T2">
        <v>5.5665840587018189E-3</v>
      </c>
      <c r="U2">
        <v>-1.5153168689353846E-3</v>
      </c>
      <c r="V2">
        <v>-5.4626798629760741E-3</v>
      </c>
      <c r="W2">
        <v>3.9023101329803468E-3</v>
      </c>
      <c r="X2" s="8" cm="1">
        <f t="array" ref="X2:X60">beta2_1+w21_1*a1_1+w22_1*a1_2+W231*a1_3</f>
        <v>-2.3766687911528661E-3</v>
      </c>
      <c r="Y2" cm="1">
        <f t="array" ref="Y2:Y60">beta2_2+w21_2*a1_1+w22_2*a1_2+w23_2*a1_3</f>
        <v>-6.130658488733046E-3</v>
      </c>
      <c r="Z2" s="30" cm="1">
        <f t="array" ref="Z2:Z60">IF(Z2_1&gt;0,1/(1+EXP(Z2_1)),0)</f>
        <v>0</v>
      </c>
      <c r="AA2" s="30" cm="1">
        <f t="array" ref="AA2:AA60">IF(Z2_2&gt;0,1/(1+EXP(Z2_2)),0)</f>
        <v>0</v>
      </c>
      <c r="AB2" s="8">
        <v>-7.146486245658473E-4</v>
      </c>
      <c r="AC2">
        <v>-1.0407809281321539E-2</v>
      </c>
      <c r="AD2">
        <v>0.98319671571214207</v>
      </c>
      <c r="AE2" cm="1">
        <f t="array" ref="AE2:AE60">beta3+w31_1*a2_1+w32_1*a2_2</f>
        <v>-7.146486245658473E-4</v>
      </c>
      <c r="AF2" s="14" cm="1">
        <f t="array" ref="AF2:AF60">1/(1+EXP(-(z_3)))</f>
        <v>0.49982133785146238</v>
      </c>
      <c r="AG2" s="14" t="b" cm="1">
        <f t="array" ref="AG2:AG60">ROUND(Y_pred,0)=Y</f>
        <v>1</v>
      </c>
      <c r="AH2" cm="1">
        <f t="array" ref="AH2:AH60">(Y - Y_pred)*Y_pred*(1-Y_pred)</f>
        <v>-0.12495531850848685</v>
      </c>
      <c r="AI2" cm="1">
        <f t="array" ref="AI2:AI60">w31_1*dZL</f>
        <v>1.3005111237231186E-3</v>
      </c>
      <c r="AJ2" cm="1">
        <f t="array" ref="AJ2:AJ60">w32_1*dZL</f>
        <v>-0.12285565876830891</v>
      </c>
      <c r="AK2" cm="1">
        <f t="array" ref="AK2:AK60">(a2_1 &gt; 0) * dZL * w31_1 * (1 - a2_1)</f>
        <v>0</v>
      </c>
      <c r="AL2" cm="1">
        <f t="array" ref="AL2:AL60">(a2_2 &gt; 0) * dZL * w32_1 * (1 - a2_2)</f>
        <v>0</v>
      </c>
      <c r="AM2" cm="1">
        <f t="array" ref="AM2:AM60">dZ2_1*w21_1+w21_2*dZ2_2</f>
        <v>0</v>
      </c>
      <c r="AN2" cm="1">
        <f t="array" ref="AN2:AN60">+w22_1*dZ2_1+w22_2*dZ2_2</f>
        <v>0</v>
      </c>
      <c r="AO2" cm="1">
        <f t="array" ref="AO2:AO60">+w23_1*dZ2_1+w23_2*dZ2_2</f>
        <v>0</v>
      </c>
      <c r="AP2" cm="1">
        <f t="array" ref="AP2:AP60">a1_1 * (dZ2_1 * w21_1 + dZ2_2 * w22_1) * (1 - a1_1)</f>
        <v>0</v>
      </c>
      <c r="AQ2" cm="1">
        <f t="array" ref="AQ2:AQ60">a1_2 * (dZ2_1 * w21_2 + dZ2_2 * w22_2) * (1 - a1_2)</f>
        <v>0</v>
      </c>
      <c r="AR2" cm="1">
        <f t="array" ref="AR2:AR60" xml:space="preserve"> a1_3 * (dZ2_1 * w23_1 + dZ2_2 * w23_2) * (1 - a1_3)</f>
        <v>0</v>
      </c>
      <c r="AS2">
        <f>AVERAGE(dZ1_1)</f>
        <v>5.4924442166254174E-6</v>
      </c>
      <c r="AT2">
        <f>AVERAGE(dZ1_2)</f>
        <v>-1.9220440812990718E-6</v>
      </c>
      <c r="AU2">
        <f>AVERAGE(dZ1_3)</f>
        <v>0</v>
      </c>
      <c r="AV2">
        <f>SUMPRODUCT(dZ1_1,X_1)</f>
        <v>1.640011707971711E-2</v>
      </c>
      <c r="AW2">
        <f>SUMPRODUCT(dZ1_2,X_1)</f>
        <v>-5.6244115741295835E-3</v>
      </c>
      <c r="AX2">
        <f>SUMPRODUCT(dZ1_3,X_1)</f>
        <v>0</v>
      </c>
      <c r="AY2">
        <f>SUMPRODUCT(dZ1_1,X_2)</f>
        <v>2.0245966044373054E-2</v>
      </c>
      <c r="AZ2">
        <f>SUMPRODUCT(dZ1_2,X_2)</f>
        <v>-6.9322188493928186E-3</v>
      </c>
      <c r="BA2">
        <f>SUMPRODUCT(dZ1_3,X_2)</f>
        <v>0</v>
      </c>
      <c r="BB2">
        <f>AVERAGE(dZ2_1)</f>
        <v>0</v>
      </c>
      <c r="BC2">
        <f>AVERAGE(dZ2_2)</f>
        <v>2.0082545068442263E-2</v>
      </c>
      <c r="BD2">
        <f>SUMPRODUCT(dZ2_1,a1_1)</f>
        <v>0</v>
      </c>
      <c r="BE2">
        <f>SUMPRODUCT(dZ2_2,a1_1)</f>
        <v>5.873836591754527E-2</v>
      </c>
      <c r="BF2">
        <f>SUMPRODUCT(dZ2_1,a1_2)</f>
        <v>0</v>
      </c>
      <c r="BG2">
        <f>SUMPRODUCT(dZ2_2,a1_2)</f>
        <v>7.7492996504940875E-2</v>
      </c>
      <c r="BH2">
        <f>SUMPRODUCT(dZ2_1,a1_3)</f>
        <v>0</v>
      </c>
      <c r="BI2">
        <f>SUMPRODUCT(dZ2_2,a1_3)</f>
        <v>0</v>
      </c>
      <c r="BJ2">
        <f>AVERAGE(dZL)</f>
        <v>-1.6563767684093032E-2</v>
      </c>
      <c r="BK2">
        <f>SUMPRODUCT(dZL,a2_1)</f>
        <v>0</v>
      </c>
      <c r="BL2">
        <f>SUMPRODUCT(dZL,a2_2)</f>
        <v>1.1914111710955653</v>
      </c>
    </row>
    <row r="3" spans="1:64" x14ac:dyDescent="0.25">
      <c r="J3" s="8">
        <v>7.7499109809101616E-2</v>
      </c>
      <c r="K3">
        <v>7.3027295713654017E-2</v>
      </c>
      <c r="L3">
        <v>-2.172743320465088E-2</v>
      </c>
      <c r="M3" s="30">
        <v>0.48063491398396141</v>
      </c>
      <c r="N3" s="31">
        <v>0.48175128536235234</v>
      </c>
      <c r="O3" s="31">
        <v>0</v>
      </c>
      <c r="P3" s="8"/>
      <c r="X3" s="8">
        <v>-1.7696178631824589E-3</v>
      </c>
      <c r="Y3">
        <v>-1.3588505752577713E-2</v>
      </c>
      <c r="Z3" s="8">
        <v>0</v>
      </c>
      <c r="AA3">
        <v>0</v>
      </c>
      <c r="AB3" s="8"/>
      <c r="AE3">
        <v>-7.146486245658473E-4</v>
      </c>
      <c r="AF3" s="14">
        <v>0.49982133785146238</v>
      </c>
      <c r="AG3" s="14" t="b">
        <v>1</v>
      </c>
      <c r="AH3">
        <v>-0.12495531850848685</v>
      </c>
      <c r="AI3">
        <v>1.3005111237231186E-3</v>
      </c>
      <c r="AJ3">
        <v>-0.12285565876830891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</row>
    <row r="4" spans="1:64" x14ac:dyDescent="0.25">
      <c r="J4" s="8">
        <v>0.85895691381019468</v>
      </c>
      <c r="K4">
        <v>0.79972024530510433</v>
      </c>
      <c r="L4">
        <v>-0.14515454888343812</v>
      </c>
      <c r="M4" s="30">
        <v>0.29755732231318771</v>
      </c>
      <c r="N4" s="31">
        <v>0.31008536429444244</v>
      </c>
      <c r="O4" s="31">
        <v>0</v>
      </c>
      <c r="P4" s="8"/>
      <c r="X4" s="8">
        <v>-2.732194704856473E-3</v>
      </c>
      <c r="Y4">
        <v>-2.9674943776468289E-3</v>
      </c>
      <c r="Z4" s="8">
        <v>0</v>
      </c>
      <c r="AA4">
        <v>0</v>
      </c>
      <c r="AB4" s="8"/>
      <c r="AE4">
        <v>-7.146486245658473E-4</v>
      </c>
      <c r="AF4" s="14">
        <v>0.49982133785146238</v>
      </c>
      <c r="AG4" s="14" t="b">
        <v>1</v>
      </c>
      <c r="AH4">
        <v>-0.12495531850848685</v>
      </c>
      <c r="AI4">
        <v>1.3005111237231186E-3</v>
      </c>
      <c r="AJ4">
        <v>-0.12285565876830891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</row>
    <row r="5" spans="1:64" x14ac:dyDescent="0.25">
      <c r="J5" s="8">
        <v>0.65115997498846145</v>
      </c>
      <c r="K5">
        <v>0.61595816671578385</v>
      </c>
      <c r="L5">
        <v>-0.11079866886138917</v>
      </c>
      <c r="M5" s="30">
        <v>0.34272818724237314</v>
      </c>
      <c r="N5" s="31">
        <v>0.35070126052176576</v>
      </c>
      <c r="O5" s="31">
        <v>0</v>
      </c>
      <c r="P5" s="8"/>
      <c r="X5" s="8">
        <v>-2.5043797217743271E-3</v>
      </c>
      <c r="Y5">
        <v>-5.5853884185473011E-3</v>
      </c>
      <c r="Z5" s="8">
        <v>0</v>
      </c>
      <c r="AA5">
        <v>0</v>
      </c>
      <c r="AB5" s="8"/>
      <c r="AE5">
        <v>-7.146486245658473E-4</v>
      </c>
      <c r="AF5" s="14">
        <v>0.49982133785146238</v>
      </c>
      <c r="AG5" s="14" t="b">
        <v>1</v>
      </c>
      <c r="AH5">
        <v>-0.12495531850848685</v>
      </c>
      <c r="AI5">
        <v>1.3005111237231186E-3</v>
      </c>
      <c r="AJ5">
        <v>-0.12285565876830891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X5" s="35"/>
    </row>
    <row r="6" spans="1:64" x14ac:dyDescent="0.25">
      <c r="J6" s="8">
        <v>1.0678564624225861</v>
      </c>
      <c r="K6">
        <v>0.97340212133283321</v>
      </c>
      <c r="L6">
        <v>-0.18148476958274842</v>
      </c>
      <c r="M6" s="30">
        <v>0.25581093943173205</v>
      </c>
      <c r="N6" s="31">
        <v>0.27420290687660048</v>
      </c>
      <c r="O6" s="31">
        <v>0</v>
      </c>
      <c r="P6" s="8"/>
      <c r="X6" s="8">
        <v>-2.9335299654398E-3</v>
      </c>
      <c r="Y6">
        <v>-5.505742032293928E-4</v>
      </c>
      <c r="Z6" s="8">
        <v>0</v>
      </c>
      <c r="AA6">
        <v>0</v>
      </c>
      <c r="AB6" s="8"/>
      <c r="AE6">
        <v>-7.146486245658473E-4</v>
      </c>
      <c r="AF6" s="14">
        <v>0.49982133785146238</v>
      </c>
      <c r="AG6" s="14" t="b">
        <v>1</v>
      </c>
      <c r="AH6">
        <v>-0.12495531850848685</v>
      </c>
      <c r="AI6">
        <v>1.3005111237231186E-3</v>
      </c>
      <c r="AJ6">
        <v>-0.12285565876830891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</row>
    <row r="7" spans="1:64" x14ac:dyDescent="0.25">
      <c r="J7" s="8">
        <v>1.3441839743244581</v>
      </c>
      <c r="K7">
        <v>1.2251383611596549</v>
      </c>
      <c r="L7">
        <v>-0.22597638249397278</v>
      </c>
      <c r="M7" s="30">
        <v>0.20682284750371732</v>
      </c>
      <c r="N7" s="31">
        <v>0.22703345878768394</v>
      </c>
      <c r="O7" s="31">
        <v>0</v>
      </c>
      <c r="P7" s="8"/>
      <c r="X7" s="8">
        <v>-3.1979714657948402E-3</v>
      </c>
      <c r="Y7">
        <v>2.2932783091831922E-3</v>
      </c>
      <c r="Z7" s="8">
        <v>0</v>
      </c>
      <c r="AA7">
        <v>0.49942668067396739</v>
      </c>
      <c r="AB7" s="8"/>
      <c r="AE7">
        <v>0.49032002355309567</v>
      </c>
      <c r="AF7" s="14">
        <v>0.62018181881570389</v>
      </c>
      <c r="AG7" s="14" t="b">
        <v>0</v>
      </c>
      <c r="AH7">
        <v>-0.14608775343724223</v>
      </c>
      <c r="AI7">
        <v>1.5204534761115423E-3</v>
      </c>
      <c r="AJ7">
        <v>-0.14363299938526175</v>
      </c>
      <c r="AK7">
        <v>0</v>
      </c>
      <c r="AL7">
        <v>-7.189884726703448E-2</v>
      </c>
      <c r="AM7">
        <v>4.0689608455146773E-3</v>
      </c>
      <c r="AN7">
        <v>1.0894953612074612E-4</v>
      </c>
      <c r="AO7">
        <v>-2.8057160023975495E-4</v>
      </c>
      <c r="AP7">
        <v>-6.5656754027767955E-5</v>
      </c>
      <c r="AQ7">
        <v>1.9119474275066419E-5</v>
      </c>
      <c r="AR7">
        <v>0</v>
      </c>
    </row>
    <row r="8" spans="1:64" x14ac:dyDescent="0.25">
      <c r="J8" s="8">
        <v>0.85675169422887809</v>
      </c>
      <c r="K8">
        <v>0.81988065042828739</v>
      </c>
      <c r="L8">
        <v>-0.14120586752891542</v>
      </c>
      <c r="M8" s="30">
        <v>0.29801845628859414</v>
      </c>
      <c r="N8" s="31">
        <v>0.30578899508068991</v>
      </c>
      <c r="O8" s="31">
        <v>0</v>
      </c>
      <c r="P8" s="8"/>
      <c r="X8" s="8">
        <v>-2.7560932138476412E-3</v>
      </c>
      <c r="Y8">
        <v>-2.9870809038729474E-3</v>
      </c>
      <c r="Z8" s="8">
        <v>0</v>
      </c>
      <c r="AA8">
        <v>0</v>
      </c>
      <c r="AB8" s="8"/>
      <c r="AE8">
        <v>-7.146486245658473E-4</v>
      </c>
      <c r="AF8" s="14">
        <v>0.49982133785146238</v>
      </c>
      <c r="AG8" s="14" t="b">
        <v>1</v>
      </c>
      <c r="AH8">
        <v>-0.12495531850848685</v>
      </c>
      <c r="AI8">
        <v>1.3005111237231186E-3</v>
      </c>
      <c r="AJ8">
        <v>-0.12285565876830891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</row>
    <row r="9" spans="1:64" x14ac:dyDescent="0.25">
      <c r="J9" s="8">
        <v>0.55756190618259049</v>
      </c>
      <c r="K9">
        <v>0.46849227684938999</v>
      </c>
      <c r="L9">
        <v>-0.10581049799919129</v>
      </c>
      <c r="M9" s="30">
        <v>0.36411177504212949</v>
      </c>
      <c r="N9" s="31">
        <v>0.38497316348271271</v>
      </c>
      <c r="O9" s="31">
        <v>0</v>
      </c>
      <c r="P9" s="8"/>
      <c r="X9" s="8">
        <v>-2.3127865498728077E-3</v>
      </c>
      <c r="Y9">
        <v>-6.8474794377034569E-3</v>
      </c>
      <c r="Z9" s="8">
        <v>0</v>
      </c>
      <c r="AA9">
        <v>0</v>
      </c>
      <c r="AB9" s="8"/>
      <c r="AE9">
        <v>-7.146486245658473E-4</v>
      </c>
      <c r="AF9" s="14">
        <v>0.49982133785146238</v>
      </c>
      <c r="AG9" s="14" t="b">
        <v>1</v>
      </c>
      <c r="AH9">
        <v>-0.12495531850848685</v>
      </c>
      <c r="AI9">
        <v>1.3005111237231186E-3</v>
      </c>
      <c r="AJ9">
        <v>-0.12285565876830891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</row>
    <row r="10" spans="1:64" x14ac:dyDescent="0.25">
      <c r="J10" s="8">
        <v>0.58152679211766434</v>
      </c>
      <c r="K10">
        <v>0.55806420803987411</v>
      </c>
      <c r="L10">
        <v>-9.86885952949524E-2</v>
      </c>
      <c r="M10" s="30">
        <v>0.35858135453728174</v>
      </c>
      <c r="N10" s="31">
        <v>0.36399548282803984</v>
      </c>
      <c r="O10" s="31">
        <v>0</v>
      </c>
      <c r="P10" s="8"/>
      <c r="X10" s="8">
        <v>-2.4297715476208647E-3</v>
      </c>
      <c r="Y10">
        <v>-6.502709333426164E-3</v>
      </c>
      <c r="Z10" s="8">
        <v>0</v>
      </c>
      <c r="AA10">
        <v>0</v>
      </c>
      <c r="AB10" s="8"/>
      <c r="AE10">
        <v>-7.146486245658473E-4</v>
      </c>
      <c r="AF10" s="14">
        <v>0.49982133785146238</v>
      </c>
      <c r="AG10" s="14" t="b">
        <v>1</v>
      </c>
      <c r="AH10">
        <v>-0.12495531850848685</v>
      </c>
      <c r="AI10">
        <v>1.3005111237231186E-3</v>
      </c>
      <c r="AJ10">
        <v>-0.12285565876830891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</row>
    <row r="11" spans="1:64" x14ac:dyDescent="0.25">
      <c r="J11" s="8">
        <v>0.71046462957770928</v>
      </c>
      <c r="K11">
        <v>0.61394585595406403</v>
      </c>
      <c r="L11">
        <v>-0.12943120479583742</v>
      </c>
      <c r="M11" s="30">
        <v>0.32949618216874804</v>
      </c>
      <c r="N11" s="31">
        <v>0.35115962112980542</v>
      </c>
      <c r="O11" s="31">
        <v>0</v>
      </c>
      <c r="P11" s="8"/>
      <c r="X11" s="8">
        <v>-2.5023329947558939E-3</v>
      </c>
      <c r="Y11">
        <v>-4.8372460710513765E-3</v>
      </c>
      <c r="Z11" s="8">
        <v>0</v>
      </c>
      <c r="AA11">
        <v>0</v>
      </c>
      <c r="AB11" s="8"/>
      <c r="AE11">
        <v>-7.146486245658473E-4</v>
      </c>
      <c r="AF11" s="14">
        <v>0.49982133785146238</v>
      </c>
      <c r="AG11" s="14" t="b">
        <v>1</v>
      </c>
      <c r="AH11">
        <v>-0.12495531850848685</v>
      </c>
      <c r="AI11">
        <v>1.3005111237231186E-3</v>
      </c>
      <c r="AJ11">
        <v>-0.12285565876830891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</row>
    <row r="12" spans="1:64" x14ac:dyDescent="0.25">
      <c r="J12" s="8">
        <v>1.0265986046494961</v>
      </c>
      <c r="K12">
        <v>0.96475928360104157</v>
      </c>
      <c r="L12">
        <v>-0.17015015602111819</v>
      </c>
      <c r="M12" s="30">
        <v>0.26374406679365542</v>
      </c>
      <c r="N12" s="31">
        <v>0.27592631960167535</v>
      </c>
      <c r="O12" s="31">
        <v>0</v>
      </c>
      <c r="P12" s="8"/>
      <c r="X12" s="8">
        <v>-2.9236338099123092E-3</v>
      </c>
      <c r="Y12">
        <v>-1.0021440248498155E-3</v>
      </c>
      <c r="Z12" s="8">
        <v>0</v>
      </c>
      <c r="AA12">
        <v>0</v>
      </c>
      <c r="AB12" s="8"/>
      <c r="AE12">
        <v>-7.146486245658473E-4</v>
      </c>
      <c r="AF12" s="14">
        <v>0.49982133785146238</v>
      </c>
      <c r="AG12" s="14" t="b">
        <v>1</v>
      </c>
      <c r="AH12">
        <v>-0.12495531850848685</v>
      </c>
      <c r="AI12">
        <v>1.3005111237231186E-3</v>
      </c>
      <c r="AJ12">
        <v>-0.12285565876830891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</row>
    <row r="13" spans="1:64" x14ac:dyDescent="0.25">
      <c r="J13" s="8">
        <v>0.19982128852519659</v>
      </c>
      <c r="K13">
        <v>0.18939015899739325</v>
      </c>
      <c r="L13">
        <v>-4.0623998641967779E-2</v>
      </c>
      <c r="M13" s="30">
        <v>0.45021023713309988</v>
      </c>
      <c r="N13" s="31">
        <v>0.4527934787494039</v>
      </c>
      <c r="O13" s="31">
        <v>0</v>
      </c>
      <c r="P13" s="8"/>
      <c r="X13" s="8">
        <v>-1.9319745714241926E-3</v>
      </c>
      <c r="Y13">
        <v>-1.1822806255760404E-2</v>
      </c>
      <c r="Z13" s="8">
        <v>0</v>
      </c>
      <c r="AA13">
        <v>0</v>
      </c>
      <c r="AB13" s="8"/>
      <c r="AE13">
        <v>-7.146486245658473E-4</v>
      </c>
      <c r="AF13" s="14">
        <v>0.49982133785146238</v>
      </c>
      <c r="AG13" s="14" t="b">
        <v>1</v>
      </c>
      <c r="AH13">
        <v>-0.12495531850848685</v>
      </c>
      <c r="AI13">
        <v>1.3005111237231186E-3</v>
      </c>
      <c r="AJ13">
        <v>-0.12285565876830891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</row>
    <row r="14" spans="1:64" x14ac:dyDescent="0.25">
      <c r="J14" s="8">
        <v>1.0236395600900381</v>
      </c>
      <c r="K14">
        <v>0.91464574375904373</v>
      </c>
      <c r="L14">
        <v>-0.17736006855964662</v>
      </c>
      <c r="M14" s="30">
        <v>0.26431906489685419</v>
      </c>
      <c r="N14" s="31">
        <v>0.28605011587806067</v>
      </c>
      <c r="O14" s="31">
        <v>0</v>
      </c>
      <c r="P14" s="8"/>
      <c r="X14" s="8">
        <v>-2.8672569118622501E-3</v>
      </c>
      <c r="Y14">
        <v>-1.0500255668649213E-3</v>
      </c>
      <c r="Z14" s="8">
        <v>0</v>
      </c>
      <c r="AA14">
        <v>0</v>
      </c>
      <c r="AB14" s="8"/>
      <c r="AE14">
        <v>-7.146486245658473E-4</v>
      </c>
      <c r="AF14" s="14">
        <v>0.49982133785146238</v>
      </c>
      <c r="AG14" s="14" t="b">
        <v>1</v>
      </c>
      <c r="AH14">
        <v>-0.12495531850848685</v>
      </c>
      <c r="AI14">
        <v>1.3005111237231186E-3</v>
      </c>
      <c r="AJ14">
        <v>-0.12285565876830891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</row>
    <row r="15" spans="1:64" x14ac:dyDescent="0.25">
      <c r="J15" s="8">
        <v>0.6419340564975704</v>
      </c>
      <c r="K15">
        <v>0.54597169471656282</v>
      </c>
      <c r="L15">
        <v>-0.11929547190666198</v>
      </c>
      <c r="M15" s="30">
        <v>0.34480947423034058</v>
      </c>
      <c r="N15" s="31">
        <v>0.36679951061166571</v>
      </c>
      <c r="O15" s="31">
        <v>0</v>
      </c>
      <c r="P15" s="8"/>
      <c r="X15" s="8">
        <v>-2.4146880623094748E-3</v>
      </c>
      <c r="Y15">
        <v>-5.7275683356188822E-3</v>
      </c>
      <c r="Z15" s="8">
        <v>0</v>
      </c>
      <c r="AA15">
        <v>0</v>
      </c>
      <c r="AB15" s="8"/>
      <c r="AE15">
        <v>-7.146486245658473E-4</v>
      </c>
      <c r="AF15" s="14">
        <v>0.49982133785146238</v>
      </c>
      <c r="AG15" s="14" t="b">
        <v>1</v>
      </c>
      <c r="AH15">
        <v>-0.12495531850848685</v>
      </c>
      <c r="AI15">
        <v>1.3005111237231186E-3</v>
      </c>
      <c r="AJ15">
        <v>-0.12285565876830891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</row>
    <row r="16" spans="1:64" x14ac:dyDescent="0.25">
      <c r="J16" s="8">
        <v>1.1006422266829265</v>
      </c>
      <c r="K16">
        <v>0.98233243203058496</v>
      </c>
      <c r="L16">
        <v>-0.19015759229660034</v>
      </c>
      <c r="M16" s="30">
        <v>0.24961957981020452</v>
      </c>
      <c r="N16" s="31">
        <v>0.27242922339611042</v>
      </c>
      <c r="O16" s="31">
        <v>0</v>
      </c>
      <c r="P16" s="8"/>
      <c r="X16" s="8">
        <v>-2.9436395122253468E-3</v>
      </c>
      <c r="Y16">
        <v>-1.9749980999694567E-4</v>
      </c>
      <c r="Z16" s="8">
        <v>0</v>
      </c>
      <c r="AA16">
        <v>0</v>
      </c>
      <c r="AB16" s="8"/>
      <c r="AE16">
        <v>-7.146486245658473E-4</v>
      </c>
      <c r="AF16" s="14">
        <v>0.49982133785146238</v>
      </c>
      <c r="AG16" s="14" t="b">
        <v>1</v>
      </c>
      <c r="AH16">
        <v>-0.12495531850848685</v>
      </c>
      <c r="AI16">
        <v>1.3005111237231186E-3</v>
      </c>
      <c r="AJ16">
        <v>-0.12285565876830891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</row>
    <row r="17" spans="10:44" x14ac:dyDescent="0.25">
      <c r="J17" s="8">
        <v>0.80957574733687188</v>
      </c>
      <c r="K17">
        <v>0.71101073301250006</v>
      </c>
      <c r="L17">
        <v>-0.14429107904434205</v>
      </c>
      <c r="M17" s="30">
        <v>0.30798090873663114</v>
      </c>
      <c r="N17" s="31">
        <v>0.32937554362037652</v>
      </c>
      <c r="O17" s="31">
        <v>0</v>
      </c>
      <c r="P17" s="8"/>
      <c r="X17" s="8">
        <v>-2.6244166601276414E-3</v>
      </c>
      <c r="Y17">
        <v>-3.5866255989130992E-3</v>
      </c>
      <c r="Z17" s="8">
        <v>0</v>
      </c>
      <c r="AA17">
        <v>0</v>
      </c>
      <c r="AB17" s="8"/>
      <c r="AE17">
        <v>-7.146486245658473E-4</v>
      </c>
      <c r="AF17" s="14">
        <v>0.49982133785146238</v>
      </c>
      <c r="AG17" s="14" t="b">
        <v>1</v>
      </c>
      <c r="AH17">
        <v>-0.12495531850848685</v>
      </c>
      <c r="AI17">
        <v>1.3005111237231186E-3</v>
      </c>
      <c r="AJ17">
        <v>-0.12285565876830891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</row>
    <row r="18" spans="10:44" x14ac:dyDescent="0.25">
      <c r="J18" s="8">
        <v>0.76501006019180684</v>
      </c>
      <c r="K18">
        <v>0.73260850296548297</v>
      </c>
      <c r="L18">
        <v>-0.12703344345092774</v>
      </c>
      <c r="M18" s="30">
        <v>0.31755951760373419</v>
      </c>
      <c r="N18" s="31">
        <v>0.32462257061360583</v>
      </c>
      <c r="O18" s="31">
        <v>0</v>
      </c>
      <c r="P18" s="8"/>
      <c r="X18" s="8">
        <v>-2.6505090781821935E-3</v>
      </c>
      <c r="Y18">
        <v>-4.1215041358057571E-3</v>
      </c>
      <c r="Z18" s="8">
        <v>0</v>
      </c>
      <c r="AA18">
        <v>0</v>
      </c>
      <c r="AB18" s="8"/>
      <c r="AE18">
        <v>-7.146486245658473E-4</v>
      </c>
      <c r="AF18" s="14">
        <v>0.49982133785146238</v>
      </c>
      <c r="AG18" s="14" t="b">
        <v>1</v>
      </c>
      <c r="AH18">
        <v>-0.12495531850848685</v>
      </c>
      <c r="AI18">
        <v>1.3005111237231186E-3</v>
      </c>
      <c r="AJ18">
        <v>-0.12285565876830891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</row>
    <row r="19" spans="10:44" x14ac:dyDescent="0.25">
      <c r="J19" s="8">
        <v>1.0361733079529041</v>
      </c>
      <c r="K19">
        <v>0.95439160807348999</v>
      </c>
      <c r="L19">
        <v>-0.17478628754615783</v>
      </c>
      <c r="M19" s="30">
        <v>0.26188903131003755</v>
      </c>
      <c r="N19" s="31">
        <v>0.27800249232327429</v>
      </c>
      <c r="O19" s="31">
        <v>0</v>
      </c>
      <c r="P19" s="8"/>
      <c r="X19" s="8">
        <v>-2.9121473860138475E-3</v>
      </c>
      <c r="Y19">
        <v>-9.0030833522098102E-4</v>
      </c>
      <c r="Z19" s="8">
        <v>0</v>
      </c>
      <c r="AA19">
        <v>0</v>
      </c>
      <c r="AB19" s="8"/>
      <c r="AE19">
        <v>-7.146486245658473E-4</v>
      </c>
      <c r="AF19" s="14">
        <v>0.49982133785146238</v>
      </c>
      <c r="AG19" s="14" t="b">
        <v>1</v>
      </c>
      <c r="AH19">
        <v>-0.12495531850848685</v>
      </c>
      <c r="AI19">
        <v>1.3005111237231186E-3</v>
      </c>
      <c r="AJ19">
        <v>-0.12285565876830891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</row>
    <row r="20" spans="10:44" x14ac:dyDescent="0.25">
      <c r="J20" s="8">
        <v>0.98975118603903933</v>
      </c>
      <c r="K20">
        <v>0.91579563562288357</v>
      </c>
      <c r="L20">
        <v>-0.16671290516853332</v>
      </c>
      <c r="M20" s="30">
        <v>0.27096122586794275</v>
      </c>
      <c r="N20" s="31">
        <v>0.28581533648418522</v>
      </c>
      <c r="O20" s="31">
        <v>0</v>
      </c>
      <c r="P20" s="8"/>
      <c r="X20" s="8">
        <v>-2.8683104452812678E-3</v>
      </c>
      <c r="Y20">
        <v>-1.4255686366255352E-3</v>
      </c>
      <c r="Z20" s="8">
        <v>0</v>
      </c>
      <c r="AA20">
        <v>0</v>
      </c>
      <c r="AB20" s="8"/>
      <c r="AE20">
        <v>-7.146486245658473E-4</v>
      </c>
      <c r="AF20" s="14">
        <v>0.49982133785146238</v>
      </c>
      <c r="AG20" s="14" t="b">
        <v>1</v>
      </c>
      <c r="AH20">
        <v>-0.12495531850848685</v>
      </c>
      <c r="AI20">
        <v>1.3005111237231186E-3</v>
      </c>
      <c r="AJ20">
        <v>-0.12285565876830891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</row>
    <row r="21" spans="10:44" x14ac:dyDescent="0.25">
      <c r="J21" s="8">
        <v>1.0151674665772883</v>
      </c>
      <c r="K21">
        <v>0.91493321672500372</v>
      </c>
      <c r="L21">
        <v>-0.1746982777118683</v>
      </c>
      <c r="M21" s="30">
        <v>0.26596978772069158</v>
      </c>
      <c r="N21" s="31">
        <v>0.28599141019414898</v>
      </c>
      <c r="O21" s="31">
        <v>0</v>
      </c>
      <c r="P21" s="8"/>
      <c r="X21" s="8">
        <v>-2.8675207300492746E-3</v>
      </c>
      <c r="Y21">
        <v>-1.1433557221459858E-3</v>
      </c>
      <c r="Z21" s="8">
        <v>0</v>
      </c>
      <c r="AA21">
        <v>0</v>
      </c>
      <c r="AB21" s="8"/>
      <c r="AE21">
        <v>-7.146486245658473E-4</v>
      </c>
      <c r="AF21" s="14">
        <v>0.49982133785146238</v>
      </c>
      <c r="AG21" s="14" t="b">
        <v>1</v>
      </c>
      <c r="AH21">
        <v>-0.12495531850848685</v>
      </c>
      <c r="AI21">
        <v>1.3005111237231186E-3</v>
      </c>
      <c r="AJ21">
        <v>-0.12285565876830891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</row>
    <row r="22" spans="10:44" x14ac:dyDescent="0.25">
      <c r="J22" s="8">
        <v>0.61025090202788823</v>
      </c>
      <c r="K22">
        <v>0.5269611814572196</v>
      </c>
      <c r="L22">
        <v>-0.11259698987007141</v>
      </c>
      <c r="M22" s="30">
        <v>0.35200196589949934</v>
      </c>
      <c r="N22" s="31">
        <v>0.37122592265481463</v>
      </c>
      <c r="O22" s="31">
        <v>0</v>
      </c>
      <c r="P22" s="8"/>
      <c r="X22" s="8">
        <v>-2.3897736877108132E-3</v>
      </c>
      <c r="Y22">
        <v>-6.1413193713175758E-3</v>
      </c>
      <c r="Z22" s="8">
        <v>0</v>
      </c>
      <c r="AA22">
        <v>0</v>
      </c>
      <c r="AB22" s="8"/>
      <c r="AE22">
        <v>-7.146486245658473E-4</v>
      </c>
      <c r="AF22" s="14">
        <v>0.49982133785146238</v>
      </c>
      <c r="AG22" s="14" t="b">
        <v>1</v>
      </c>
      <c r="AH22">
        <v>-0.12495531850848685</v>
      </c>
      <c r="AI22">
        <v>1.3005111237231186E-3</v>
      </c>
      <c r="AJ22">
        <v>-0.12285565876830891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</row>
    <row r="23" spans="10:44" x14ac:dyDescent="0.25">
      <c r="J23" s="8">
        <v>0.13866019916714911</v>
      </c>
      <c r="K23">
        <v>0.13120872735552364</v>
      </c>
      <c r="L23">
        <v>-3.1175715923309328E-2</v>
      </c>
      <c r="M23" s="30">
        <v>0.46539038469606897</v>
      </c>
      <c r="N23" s="31">
        <v>0.46724479674491037</v>
      </c>
      <c r="O23" s="31">
        <v>0</v>
      </c>
      <c r="P23" s="8"/>
      <c r="X23" s="8">
        <v>-1.8509510012758115E-3</v>
      </c>
      <c r="Y23">
        <v>-1.2703792430956599E-2</v>
      </c>
      <c r="Z23" s="8">
        <v>0</v>
      </c>
      <c r="AA23">
        <v>0</v>
      </c>
      <c r="AB23" s="8"/>
      <c r="AE23">
        <v>-7.146486245658473E-4</v>
      </c>
      <c r="AF23" s="14">
        <v>0.49982133785146238</v>
      </c>
      <c r="AG23" s="14" t="b">
        <v>1</v>
      </c>
      <c r="AH23">
        <v>-0.12495531850848685</v>
      </c>
      <c r="AI23">
        <v>1.3005111237231186E-3</v>
      </c>
      <c r="AJ23">
        <v>-0.12285565876830891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</row>
    <row r="24" spans="10:44" x14ac:dyDescent="0.25">
      <c r="J24" s="8">
        <v>0.92011800316824222</v>
      </c>
      <c r="K24">
        <v>0.85790167694697395</v>
      </c>
      <c r="L24">
        <v>-0.15460283160209656</v>
      </c>
      <c r="M24" s="30">
        <v>0.28493385095025503</v>
      </c>
      <c r="N24" s="31">
        <v>0.29777793182402368</v>
      </c>
      <c r="O24" s="31">
        <v>0</v>
      </c>
      <c r="P24" s="8"/>
      <c r="X24" s="8">
        <v>-2.801186623681221E-3</v>
      </c>
      <c r="Y24">
        <v>-2.2344464669760301E-3</v>
      </c>
      <c r="Z24" s="8">
        <v>0</v>
      </c>
      <c r="AA24">
        <v>0</v>
      </c>
      <c r="AB24" s="8"/>
      <c r="AE24">
        <v>-7.146486245658473E-4</v>
      </c>
      <c r="AF24" s="14">
        <v>0.49982133785146238</v>
      </c>
      <c r="AG24" s="14" t="b">
        <v>1</v>
      </c>
      <c r="AH24">
        <v>-0.12495531850848685</v>
      </c>
      <c r="AI24">
        <v>1.3005111237231186E-3</v>
      </c>
      <c r="AJ24">
        <v>-0.12285565876830891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</row>
    <row r="25" spans="10:44" x14ac:dyDescent="0.25">
      <c r="J25" s="8">
        <v>0.53104301585368308</v>
      </c>
      <c r="K25">
        <v>0.47943489830886143</v>
      </c>
      <c r="L25">
        <v>-9.5850784778594975E-2</v>
      </c>
      <c r="M25" s="30">
        <v>0.37027365401546986</v>
      </c>
      <c r="N25" s="31">
        <v>0.38238557464220435</v>
      </c>
      <c r="O25" s="31">
        <v>0</v>
      </c>
      <c r="P25" s="8"/>
      <c r="X25" s="8">
        <v>-2.3269555166956645E-3</v>
      </c>
      <c r="Y25">
        <v>-7.1922767274486561E-3</v>
      </c>
      <c r="Z25" s="8">
        <v>0</v>
      </c>
      <c r="AA25">
        <v>0</v>
      </c>
      <c r="AB25" s="8"/>
      <c r="AE25">
        <v>-7.146486245658473E-4</v>
      </c>
      <c r="AF25" s="14">
        <v>0.49982133785146238</v>
      </c>
      <c r="AG25" s="14" t="b">
        <v>1</v>
      </c>
      <c r="AH25">
        <v>-0.12495531850848685</v>
      </c>
      <c r="AI25">
        <v>1.3005111237231186E-3</v>
      </c>
      <c r="AJ25">
        <v>-0.12285565876830891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</row>
    <row r="26" spans="10:44" x14ac:dyDescent="0.25">
      <c r="J26" s="8">
        <v>1.4053450636825056</v>
      </c>
      <c r="K26">
        <v>1.2833197928015245</v>
      </c>
      <c r="L26">
        <v>-0.23542466521263122</v>
      </c>
      <c r="M26" s="30">
        <v>0.19696930033757568</v>
      </c>
      <c r="N26" s="31">
        <v>0.21698565129931507</v>
      </c>
      <c r="O26" s="31">
        <v>0</v>
      </c>
      <c r="P26" s="8"/>
      <c r="X26" s="8">
        <v>-3.2542793248742418E-3</v>
      </c>
      <c r="Y26">
        <v>2.8661442609887299E-3</v>
      </c>
      <c r="Z26" s="8">
        <v>0</v>
      </c>
      <c r="AA26">
        <v>0.49928346442526805</v>
      </c>
      <c r="AB26" s="8"/>
      <c r="AE26">
        <v>0.49017921380773782</v>
      </c>
      <c r="AF26" s="14">
        <v>0.62014864962753946</v>
      </c>
      <c r="AG26" s="14" t="b">
        <v>0</v>
      </c>
      <c r="AH26">
        <v>-0.14608488378121365</v>
      </c>
      <c r="AI26">
        <v>1.5204236092788937E-3</v>
      </c>
      <c r="AJ26">
        <v>-0.14363017794887922</v>
      </c>
      <c r="AK26">
        <v>0</v>
      </c>
      <c r="AL26">
        <v>-7.1918005106545058E-2</v>
      </c>
      <c r="AM26">
        <v>4.0700450422969112E-3</v>
      </c>
      <c r="AN26">
        <v>1.0897856631812887E-4</v>
      </c>
      <c r="AO26">
        <v>-2.8064636007100308E-4</v>
      </c>
      <c r="AP26">
        <v>-6.3322360309029779E-5</v>
      </c>
      <c r="AQ26">
        <v>1.8515772104573207E-5</v>
      </c>
      <c r="AR26">
        <v>0</v>
      </c>
    </row>
    <row r="27" spans="10:44" x14ac:dyDescent="0.25">
      <c r="J27" s="8">
        <v>0.49529820703388461</v>
      </c>
      <c r="K27">
        <v>0.4203910477691119</v>
      </c>
      <c r="L27">
        <v>-9.4387874603271485E-2</v>
      </c>
      <c r="M27" s="30">
        <v>0.37864624212772452</v>
      </c>
      <c r="N27" s="31">
        <v>0.39642317962639906</v>
      </c>
      <c r="O27" s="31">
        <v>0</v>
      </c>
      <c r="P27" s="8"/>
      <c r="X27" s="8">
        <v>-2.2484946102506948E-3</v>
      </c>
      <c r="Y27">
        <v>-7.6873767896715123E-3</v>
      </c>
      <c r="Z27" s="8">
        <v>0</v>
      </c>
      <c r="AA27">
        <v>0</v>
      </c>
      <c r="AB27" s="8"/>
      <c r="AE27">
        <v>-7.146486245658473E-4</v>
      </c>
      <c r="AF27" s="14">
        <v>0.49982133785146238</v>
      </c>
      <c r="AG27" s="14" t="b">
        <v>1</v>
      </c>
      <c r="AH27">
        <v>-0.12495531850848685</v>
      </c>
      <c r="AI27">
        <v>1.3005111237231186E-3</v>
      </c>
      <c r="AJ27">
        <v>-0.12285565876830891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</row>
    <row r="28" spans="10:44" x14ac:dyDescent="0.25">
      <c r="J28" s="8">
        <v>0.65115997498846145</v>
      </c>
      <c r="K28">
        <v>0.61595816671578385</v>
      </c>
      <c r="L28">
        <v>-0.11079866886138917</v>
      </c>
      <c r="M28" s="30">
        <v>0.34272818724237314</v>
      </c>
      <c r="N28" s="31">
        <v>0.35070126052176576</v>
      </c>
      <c r="O28" s="31">
        <v>0</v>
      </c>
      <c r="P28" s="8"/>
      <c r="X28" s="8">
        <v>-2.5043797217743271E-3</v>
      </c>
      <c r="Y28">
        <v>-5.5853884185473011E-3</v>
      </c>
      <c r="Z28" s="8">
        <v>0</v>
      </c>
      <c r="AA28">
        <v>0</v>
      </c>
      <c r="AB28" s="8"/>
      <c r="AE28">
        <v>-7.146486245658473E-4</v>
      </c>
      <c r="AF28" s="14">
        <v>0.49982133785146238</v>
      </c>
      <c r="AG28" s="14" t="b">
        <v>1</v>
      </c>
      <c r="AH28">
        <v>-0.12495531850848685</v>
      </c>
      <c r="AI28">
        <v>1.3005111237231186E-3</v>
      </c>
      <c r="AJ28">
        <v>-0.12285565876830891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</row>
    <row r="29" spans="10:44" x14ac:dyDescent="0.25">
      <c r="J29" s="8">
        <v>0.71046462957770928</v>
      </c>
      <c r="K29">
        <v>0.61394585595406403</v>
      </c>
      <c r="L29">
        <v>-0.12943120479583742</v>
      </c>
      <c r="M29" s="30">
        <v>0.32949618216874804</v>
      </c>
      <c r="N29" s="31">
        <v>0.35115962112980542</v>
      </c>
      <c r="O29" s="31">
        <v>0</v>
      </c>
      <c r="P29" s="8"/>
      <c r="X29" s="8">
        <v>-2.5023329947558939E-3</v>
      </c>
      <c r="Y29">
        <v>-4.8372460710513765E-3</v>
      </c>
      <c r="Z29" s="8">
        <v>0</v>
      </c>
      <c r="AA29">
        <v>0</v>
      </c>
      <c r="AB29" s="8"/>
      <c r="AE29">
        <v>-7.146486245658473E-4</v>
      </c>
      <c r="AF29" s="14">
        <v>0.49982133785146238</v>
      </c>
      <c r="AG29" s="14" t="b">
        <v>1</v>
      </c>
      <c r="AH29">
        <v>-0.12495531850848685</v>
      </c>
      <c r="AI29">
        <v>1.3005111237231186E-3</v>
      </c>
      <c r="AJ29">
        <v>-0.12285565876830891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</row>
    <row r="30" spans="10:44" x14ac:dyDescent="0.25">
      <c r="J30" s="8">
        <v>0.61872299554063803</v>
      </c>
      <c r="K30">
        <v>0.52667370849125961</v>
      </c>
      <c r="L30">
        <v>-0.11525878071784973</v>
      </c>
      <c r="M30" s="30">
        <v>0.35007194183866147</v>
      </c>
      <c r="N30" s="31">
        <v>0.37129302628389388</v>
      </c>
      <c r="O30" s="31">
        <v>0</v>
      </c>
      <c r="P30" s="8"/>
      <c r="X30" s="8">
        <v>-2.3894737764672473E-3</v>
      </c>
      <c r="Y30">
        <v>-6.0321954879255305E-3</v>
      </c>
      <c r="Z30" s="8">
        <v>0</v>
      </c>
      <c r="AA30">
        <v>0</v>
      </c>
      <c r="AB30" s="8"/>
      <c r="AE30">
        <v>-7.146486245658473E-4</v>
      </c>
      <c r="AF30" s="14">
        <v>0.49982133785146238</v>
      </c>
      <c r="AG30" s="14" t="b">
        <v>1</v>
      </c>
      <c r="AH30">
        <v>-0.12495531850848685</v>
      </c>
      <c r="AI30">
        <v>1.3005111237231186E-3</v>
      </c>
      <c r="AJ30">
        <v>-0.12285565876830891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</row>
    <row r="31" spans="10:44" x14ac:dyDescent="0.25">
      <c r="J31" s="8">
        <v>2.3673270911982831</v>
      </c>
      <c r="K31">
        <v>2.1344434974765858</v>
      </c>
      <c r="L31">
        <v>-0.39440654158592225</v>
      </c>
      <c r="M31" s="30">
        <v>8.5698341100556547E-2</v>
      </c>
      <c r="N31" s="31">
        <v>0.10579389302150209</v>
      </c>
      <c r="O31" s="31">
        <v>0</v>
      </c>
      <c r="P31" s="8"/>
      <c r="X31" s="8">
        <v>-3.8774823694968687E-3</v>
      </c>
      <c r="Y31">
        <v>9.3317759718360808E-3</v>
      </c>
      <c r="Z31" s="8">
        <v>0</v>
      </c>
      <c r="AA31">
        <v>0.49766707293668766</v>
      </c>
      <c r="AB31" s="8"/>
      <c r="AE31">
        <v>0.48858998300486056</v>
      </c>
      <c r="AF31" s="14">
        <v>0.61977421216500028</v>
      </c>
      <c r="AG31" s="14" t="b">
        <v>1</v>
      </c>
      <c r="AH31">
        <v>8.9601780315746699E-2</v>
      </c>
      <c r="AI31">
        <v>-9.325582407931621E-4</v>
      </c>
      <c r="AJ31">
        <v>8.8096176128403009E-2</v>
      </c>
      <c r="AK31">
        <v>0</v>
      </c>
      <c r="AL31">
        <v>4.4253610017665784E-2</v>
      </c>
      <c r="AM31">
        <v>-2.5044380164509017E-3</v>
      </c>
      <c r="AN31">
        <v>-6.705824177105689E-5</v>
      </c>
      <c r="AO31">
        <v>1.7269131079289778E-4</v>
      </c>
      <c r="AP31">
        <v>1.9301870557603663E-5</v>
      </c>
      <c r="AQ31">
        <v>-6.3438132913358047E-6</v>
      </c>
      <c r="AR31">
        <v>0</v>
      </c>
    </row>
    <row r="32" spans="10:44" x14ac:dyDescent="0.25">
      <c r="J32" s="8">
        <v>2.1742691198207327</v>
      </c>
      <c r="K32">
        <v>1.9702668780785286</v>
      </c>
      <c r="L32">
        <v>-0.36142556190490727</v>
      </c>
      <c r="M32" s="30">
        <v>0.10208504488080988</v>
      </c>
      <c r="N32" s="31">
        <v>0.12236022437807204</v>
      </c>
      <c r="O32" s="31">
        <v>0</v>
      </c>
      <c r="P32" s="8"/>
      <c r="X32" s="8">
        <v>-3.7846393718631976E-3</v>
      </c>
      <c r="Y32">
        <v>8.3793024233927271E-3</v>
      </c>
      <c r="Z32" s="8">
        <v>0</v>
      </c>
      <c r="AA32">
        <v>0.49790518665101419</v>
      </c>
      <c r="AB32" s="8"/>
      <c r="AE32">
        <v>0.48882409562675239</v>
      </c>
      <c r="AF32" s="14">
        <v>0.61982938022593004</v>
      </c>
      <c r="AG32" s="14" t="b">
        <v>1</v>
      </c>
      <c r="AH32">
        <v>8.9583754461644113E-2</v>
      </c>
      <c r="AI32">
        <v>-9.3237063114152952E-4</v>
      </c>
      <c r="AJ32">
        <v>8.8078453167851442E-2</v>
      </c>
      <c r="AK32">
        <v>0</v>
      </c>
      <c r="AL32">
        <v>4.4223734503379755E-2</v>
      </c>
      <c r="AM32">
        <v>-2.5027472758828648E-3</v>
      </c>
      <c r="AN32">
        <v>-6.7012970900291141E-5</v>
      </c>
      <c r="AO32">
        <v>1.725747272707714E-4</v>
      </c>
      <c r="AP32">
        <v>2.2565320935323633E-5</v>
      </c>
      <c r="AQ32">
        <v>-7.1964023128036693E-6</v>
      </c>
      <c r="AR32">
        <v>0</v>
      </c>
    </row>
    <row r="33" spans="10:44" x14ac:dyDescent="0.25">
      <c r="J33" s="8">
        <v>2.0202637866349553</v>
      </c>
      <c r="K33">
        <v>1.8348935015354462</v>
      </c>
      <c r="L33">
        <v>-0.33583051443099976</v>
      </c>
      <c r="M33" s="30">
        <v>0.11709171752984418</v>
      </c>
      <c r="N33" s="31">
        <v>0.13765634923527439</v>
      </c>
      <c r="O33" s="31">
        <v>0</v>
      </c>
      <c r="P33" s="8"/>
      <c r="X33" s="8">
        <v>-3.698919731043956E-3</v>
      </c>
      <c r="Y33">
        <v>7.5068535382939172E-3</v>
      </c>
      <c r="Z33" s="8">
        <v>0</v>
      </c>
      <c r="AA33">
        <v>0.49812329542855588</v>
      </c>
      <c r="AB33" s="8"/>
      <c r="AE33">
        <v>0.48903853946049936</v>
      </c>
      <c r="AF33" s="14">
        <v>0.61987991066946635</v>
      </c>
      <c r="AG33" s="14" t="b">
        <v>1</v>
      </c>
      <c r="AH33">
        <v>8.9567243172483921E-2</v>
      </c>
      <c r="AI33">
        <v>-9.3219878479296149E-4</v>
      </c>
      <c r="AJ33">
        <v>8.8062219322576976E-2</v>
      </c>
      <c r="AK33">
        <v>0</v>
      </c>
      <c r="AL33">
        <v>4.4196376430862681E-2</v>
      </c>
      <c r="AM33">
        <v>-2.5011990045250882E-3</v>
      </c>
      <c r="AN33">
        <v>-6.6971514751504462E-5</v>
      </c>
      <c r="AO33">
        <v>1.724679675871692E-4</v>
      </c>
      <c r="AP33">
        <v>2.5434148507194725E-5</v>
      </c>
      <c r="AQ33">
        <v>-7.9499928756464807E-6</v>
      </c>
      <c r="AR33">
        <v>0</v>
      </c>
    </row>
    <row r="34" spans="10:44" x14ac:dyDescent="0.25">
      <c r="J34" s="8">
        <v>2.3651218716169664</v>
      </c>
      <c r="K34">
        <v>2.154603902599769</v>
      </c>
      <c r="L34">
        <v>-0.3904578602313995</v>
      </c>
      <c r="M34" s="30">
        <v>8.5871287112200087E-2</v>
      </c>
      <c r="N34" s="31">
        <v>0.10390178885318915</v>
      </c>
      <c r="O34" s="31">
        <v>0</v>
      </c>
      <c r="P34" s="8"/>
      <c r="X34" s="8">
        <v>-3.8880083288360822E-3</v>
      </c>
      <c r="Y34">
        <v>9.3248556011034638E-3</v>
      </c>
      <c r="Z34" s="8">
        <v>0</v>
      </c>
      <c r="AA34">
        <v>0.49766880299173422</v>
      </c>
      <c r="AB34" s="8"/>
      <c r="AE34">
        <v>0.48859168398930031</v>
      </c>
      <c r="AF34" s="14">
        <v>0.61977461300894066</v>
      </c>
      <c r="AG34" s="14" t="b">
        <v>1</v>
      </c>
      <c r="AH34">
        <v>8.9601649345327286E-2</v>
      </c>
      <c r="AI34">
        <v>-9.3255687767801541E-4</v>
      </c>
      <c r="AJ34">
        <v>8.8096047358716789E-2</v>
      </c>
      <c r="AK34">
        <v>0</v>
      </c>
      <c r="AL34">
        <v>4.4253392921401076E-2</v>
      </c>
      <c r="AM34">
        <v>-2.5044257303540535E-3</v>
      </c>
      <c r="AN34">
        <v>-6.7057912801424797E-5</v>
      </c>
      <c r="AO34">
        <v>1.7269046361594417E-4</v>
      </c>
      <c r="AP34">
        <v>1.9337069951350554E-5</v>
      </c>
      <c r="AQ34">
        <v>-6.2435079187465839E-6</v>
      </c>
      <c r="AR34">
        <v>0</v>
      </c>
    </row>
    <row r="35" spans="10:44" x14ac:dyDescent="0.25">
      <c r="J35" s="8">
        <v>3.0559406513716469</v>
      </c>
      <c r="K35">
        <v>2.7839445021668232</v>
      </c>
      <c r="L35">
        <v>-0.50168689250946052</v>
      </c>
      <c r="M35" s="30">
        <v>4.4961690413976289E-2</v>
      </c>
      <c r="N35" s="31">
        <v>5.8197976395526388E-2</v>
      </c>
      <c r="O35" s="31">
        <v>0</v>
      </c>
      <c r="P35" s="8"/>
      <c r="X35" s="8">
        <v>-4.1439830660170256E-3</v>
      </c>
      <c r="Y35">
        <v>1.1709302123595703E-2</v>
      </c>
      <c r="Z35" s="8">
        <v>0</v>
      </c>
      <c r="AA35">
        <v>0.49707270791522873</v>
      </c>
      <c r="AB35" s="8"/>
      <c r="AE35">
        <v>0.48800560526782794</v>
      </c>
      <c r="AF35" s="14">
        <v>0.61963649149743871</v>
      </c>
      <c r="AG35" s="14" t="b">
        <v>1</v>
      </c>
      <c r="AH35">
        <v>8.9646776031223188E-2</v>
      </c>
      <c r="AI35">
        <v>-9.3302654761831798E-4</v>
      </c>
      <c r="AJ35">
        <v>8.8140415768080613E-2</v>
      </c>
      <c r="AK35">
        <v>0</v>
      </c>
      <c r="AL35">
        <v>4.4328220625466659E-2</v>
      </c>
      <c r="AM35">
        <v>-2.508660443559841E-3</v>
      </c>
      <c r="AN35">
        <v>-6.7171300483659071E-5</v>
      </c>
      <c r="AO35">
        <v>1.7298246452374696E-4</v>
      </c>
      <c r="AP35">
        <v>1.0595769302819198E-5</v>
      </c>
      <c r="AQ35">
        <v>-3.681724265915447E-6</v>
      </c>
      <c r="AR35">
        <v>0</v>
      </c>
    </row>
    <row r="36" spans="10:44" x14ac:dyDescent="0.25">
      <c r="J36" s="8">
        <v>2.5180245950120854</v>
      </c>
      <c r="K36">
        <v>2.3000574817044432</v>
      </c>
      <c r="L36">
        <v>-0.41407856702804569</v>
      </c>
      <c r="M36" s="30">
        <v>7.4604209456854184E-2</v>
      </c>
      <c r="N36" s="31">
        <v>9.1118200516871306E-2</v>
      </c>
      <c r="O36" s="31">
        <v>0</v>
      </c>
      <c r="P36" s="8"/>
      <c r="X36" s="8">
        <v>-3.9595990654723821E-3</v>
      </c>
      <c r="Y36">
        <v>9.9818628500059764E-3</v>
      </c>
      <c r="Z36" s="8">
        <v>0</v>
      </c>
      <c r="AA36">
        <v>0.4975045550074737</v>
      </c>
      <c r="AB36" s="8"/>
      <c r="AE36">
        <v>0.48843019591061304</v>
      </c>
      <c r="AF36" s="14">
        <v>0.6197365569544464</v>
      </c>
      <c r="AG36" s="14" t="b">
        <v>1</v>
      </c>
      <c r="AH36">
        <v>8.9614083452690022E-2</v>
      </c>
      <c r="AI36">
        <v>-9.3268628949603018E-4</v>
      </c>
      <c r="AJ36">
        <v>8.8108272532238643E-2</v>
      </c>
      <c r="AK36">
        <v>0</v>
      </c>
      <c r="AL36">
        <v>4.4274005613610036E-2</v>
      </c>
      <c r="AM36">
        <v>-2.5055922614001967E-3</v>
      </c>
      <c r="AN36">
        <v>-6.7089147561643196E-5</v>
      </c>
      <c r="AO36">
        <v>1.7277090073361919E-4</v>
      </c>
      <c r="AP36">
        <v>1.7014862338805892E-5</v>
      </c>
      <c r="AQ36">
        <v>-5.5560329768539058E-6</v>
      </c>
      <c r="AR36">
        <v>0</v>
      </c>
    </row>
    <row r="37" spans="10:44" x14ac:dyDescent="0.25">
      <c r="J37" s="8">
        <v>3.1635238626435589</v>
      </c>
      <c r="K37">
        <v>2.8807219062592995</v>
      </c>
      <c r="L37">
        <v>-0.51920855760574347</v>
      </c>
      <c r="M37" s="30">
        <v>4.056169512734302E-2</v>
      </c>
      <c r="N37" s="31">
        <v>5.3114817393920745E-2</v>
      </c>
      <c r="O37" s="31">
        <v>0</v>
      </c>
      <c r="P37" s="8"/>
      <c r="X37" s="8">
        <v>-4.1724467493376412E-3</v>
      </c>
      <c r="Y37">
        <v>1.1966013003652824E-2</v>
      </c>
      <c r="Z37" s="8">
        <v>0</v>
      </c>
      <c r="AA37">
        <v>0.49700853244355825</v>
      </c>
      <c r="AB37" s="8"/>
      <c r="AE37">
        <v>0.48794250815485224</v>
      </c>
      <c r="AF37" s="14">
        <v>0.61962162020898404</v>
      </c>
      <c r="AG37" s="14" t="b">
        <v>1</v>
      </c>
      <c r="AH37">
        <v>8.9651634417553625E-2</v>
      </c>
      <c r="AI37">
        <v>-9.3307711277666023E-4</v>
      </c>
      <c r="AJ37">
        <v>8.8145192517564364E-2</v>
      </c>
      <c r="AK37">
        <v>0</v>
      </c>
      <c r="AL37">
        <v>4.4336279742454784E-2</v>
      </c>
      <c r="AM37">
        <v>-2.5091165319773971E-3</v>
      </c>
      <c r="AN37">
        <v>-6.7183512599579899E-5</v>
      </c>
      <c r="AO37">
        <v>1.7301391369763257E-4</v>
      </c>
      <c r="AP37">
        <v>9.604641740475552E-6</v>
      </c>
      <c r="AQ37">
        <v>-3.3789029644360133E-6</v>
      </c>
      <c r="AR37">
        <v>0</v>
      </c>
    </row>
    <row r="38" spans="10:44" x14ac:dyDescent="0.25">
      <c r="J38" s="8">
        <v>3.0570432611623053</v>
      </c>
      <c r="K38">
        <v>2.7738642996052318</v>
      </c>
      <c r="L38">
        <v>-0.50366123318672185</v>
      </c>
      <c r="M38" s="30">
        <v>4.4914367946599865E-2</v>
      </c>
      <c r="N38" s="31">
        <v>5.8752948940664719E-2</v>
      </c>
      <c r="O38" s="31">
        <v>0</v>
      </c>
      <c r="P38" s="8"/>
      <c r="X38" s="8">
        <v>-4.1408955699563975E-3</v>
      </c>
      <c r="Y38">
        <v>1.1711139277744014E-2</v>
      </c>
      <c r="Z38" s="8">
        <v>0</v>
      </c>
      <c r="AA38">
        <v>0.49707224864243676</v>
      </c>
      <c r="AB38" s="8"/>
      <c r="AE38">
        <v>0.48800515371232728</v>
      </c>
      <c r="AF38" s="14">
        <v>0.619636385071622</v>
      </c>
      <c r="AG38" s="14" t="b">
        <v>1</v>
      </c>
      <c r="AH38">
        <v>8.9646810800304025E-2</v>
      </c>
      <c r="AI38">
        <v>-9.3302690948828025E-4</v>
      </c>
      <c r="AJ38">
        <v>8.8140449952926705E-2</v>
      </c>
      <c r="AK38">
        <v>0</v>
      </c>
      <c r="AL38">
        <v>4.4328278298469262E-2</v>
      </c>
      <c r="AM38">
        <v>-2.5086637074395604E-3</v>
      </c>
      <c r="AN38">
        <v>-6.7171387876532797E-5</v>
      </c>
      <c r="AO38">
        <v>1.729826895816894E-4</v>
      </c>
      <c r="AP38">
        <v>1.0585155430768968E-5</v>
      </c>
      <c r="AQ38">
        <v>-3.7146476032104093E-6</v>
      </c>
      <c r="AR38">
        <v>0</v>
      </c>
    </row>
    <row r="39" spans="10:44" x14ac:dyDescent="0.25">
      <c r="J39" s="8">
        <v>3.3724234112559506</v>
      </c>
      <c r="K39">
        <v>3.0544037822870282</v>
      </c>
      <c r="L39">
        <v>-0.55553877830505372</v>
      </c>
      <c r="M39" s="30">
        <v>3.3168506041831969E-2</v>
      </c>
      <c r="N39" s="31">
        <v>4.502772995344468E-2</v>
      </c>
      <c r="O39" s="31">
        <v>0</v>
      </c>
      <c r="P39" s="8"/>
      <c r="X39" s="8">
        <v>-4.2177462374719922E-3</v>
      </c>
      <c r="Y39">
        <v>1.2396669161777845E-2</v>
      </c>
      <c r="Z39" s="8">
        <v>0</v>
      </c>
      <c r="AA39">
        <v>0.49690087239827818</v>
      </c>
      <c r="AB39" s="8"/>
      <c r="AE39">
        <v>0.48783665715191948</v>
      </c>
      <c r="AF39" s="14">
        <v>0.61959667179952138</v>
      </c>
      <c r="AG39" s="14" t="b">
        <v>1</v>
      </c>
      <c r="AH39">
        <v>8.9659784815996332E-2</v>
      </c>
      <c r="AI39">
        <v>-9.3316194056921871E-4</v>
      </c>
      <c r="AJ39">
        <v>8.8153205962544973E-2</v>
      </c>
      <c r="AK39">
        <v>0</v>
      </c>
      <c r="AL39">
        <v>4.4349801015051281E-2</v>
      </c>
      <c r="AM39">
        <v>-2.5098817393606576E-3</v>
      </c>
      <c r="AN39">
        <v>-6.7204001612034849E-5</v>
      </c>
      <c r="AO39">
        <v>1.7306667789669669E-4</v>
      </c>
      <c r="AP39">
        <v>7.9169362292603351E-6</v>
      </c>
      <c r="AQ39">
        <v>-2.8897877606914172E-6</v>
      </c>
      <c r="AR39">
        <v>0</v>
      </c>
    </row>
    <row r="40" spans="10:44" x14ac:dyDescent="0.25">
      <c r="J40" s="8">
        <v>2.5242914689435185</v>
      </c>
      <c r="K40">
        <v>2.3199304138616661</v>
      </c>
      <c r="L40">
        <v>-0.41279167652130128</v>
      </c>
      <c r="M40" s="30">
        <v>7.4172706131304528E-2</v>
      </c>
      <c r="N40" s="31">
        <v>8.948572891329315E-2</v>
      </c>
      <c r="O40" s="31">
        <v>0</v>
      </c>
      <c r="P40" s="8"/>
      <c r="X40" s="8">
        <v>-3.9687028169085913E-3</v>
      </c>
      <c r="Y40">
        <v>1.0008756565744275E-2</v>
      </c>
      <c r="Z40" s="8">
        <v>0</v>
      </c>
      <c r="AA40">
        <v>0.4974978317464645</v>
      </c>
      <c r="AB40" s="8"/>
      <c r="AE40">
        <v>0.4884235856224699</v>
      </c>
      <c r="AF40" s="14">
        <v>0.61973499915184149</v>
      </c>
      <c r="AG40" s="14" t="b">
        <v>1</v>
      </c>
      <c r="AH40">
        <v>8.9614592427005466E-2</v>
      </c>
      <c r="AI40">
        <v>-9.3269158680363447E-4</v>
      </c>
      <c r="AJ40">
        <v>8.810877295411397E-2</v>
      </c>
      <c r="AK40">
        <v>0</v>
      </c>
      <c r="AL40">
        <v>4.4274849451600741E-2</v>
      </c>
      <c r="AM40">
        <v>-2.5056400165989886E-3</v>
      </c>
      <c r="AN40">
        <v>-6.7090426243585169E-5</v>
      </c>
      <c r="AO40">
        <v>1.7277419365116091E-4</v>
      </c>
      <c r="AP40">
        <v>1.6924660617297694E-5</v>
      </c>
      <c r="AQ40">
        <v>-5.4663959791681062E-6</v>
      </c>
      <c r="AR40">
        <v>0</v>
      </c>
    </row>
    <row r="41" spans="10:44" x14ac:dyDescent="0.25">
      <c r="J41" s="8">
        <v>2.7383552816966845</v>
      </c>
      <c r="K41">
        <v>2.52356542460821</v>
      </c>
      <c r="L41">
        <v>-0.44586066603660585</v>
      </c>
      <c r="M41" s="30">
        <v>6.0747678894183255E-2</v>
      </c>
      <c r="N41" s="31">
        <v>7.4222579823161092E-2</v>
      </c>
      <c r="O41" s="31">
        <v>0</v>
      </c>
      <c r="P41" s="8"/>
      <c r="X41" s="8">
        <v>-4.0541785585832702E-3</v>
      </c>
      <c r="Y41">
        <v>1.0791645656884606E-2</v>
      </c>
      <c r="Z41" s="8">
        <v>0</v>
      </c>
      <c r="AA41">
        <v>0.49730211476861791</v>
      </c>
      <c r="AB41" s="8"/>
      <c r="AE41">
        <v>0.48823115733264205</v>
      </c>
      <c r="AF41" s="14">
        <v>0.6196896497770652</v>
      </c>
      <c r="AG41" s="14" t="b">
        <v>1</v>
      </c>
      <c r="AH41">
        <v>8.9629408938546484E-2</v>
      </c>
      <c r="AI41">
        <v>-9.3284579422996789E-4</v>
      </c>
      <c r="AJ41">
        <v>8.8123340499599412E-2</v>
      </c>
      <c r="AK41">
        <v>0</v>
      </c>
      <c r="AL41">
        <v>4.4299416908673638E-2</v>
      </c>
      <c r="AM41">
        <v>-2.5070303590690453E-3</v>
      </c>
      <c r="AN41">
        <v>-6.7127653725714576E-5</v>
      </c>
      <c r="AO41">
        <v>1.7287006348783805E-4</v>
      </c>
      <c r="AP41">
        <v>1.4070150635684471E-5</v>
      </c>
      <c r="AQ41">
        <v>-4.6125819729013251E-6</v>
      </c>
      <c r="AR41">
        <v>0</v>
      </c>
    </row>
    <row r="42" spans="10:44" x14ac:dyDescent="0.25">
      <c r="J42" s="8">
        <v>2.546748704922309</v>
      </c>
      <c r="K42">
        <v>2.2689544551217882</v>
      </c>
      <c r="L42">
        <v>-0.42798696160316468</v>
      </c>
      <c r="M42" s="30">
        <v>7.2645214134109487E-2</v>
      </c>
      <c r="N42" s="31">
        <v>9.372698544237322E-2</v>
      </c>
      <c r="O42" s="31">
        <v>0</v>
      </c>
      <c r="P42" s="8"/>
      <c r="X42" s="8">
        <v>-3.9451517768404071E-3</v>
      </c>
      <c r="Y42">
        <v>1.0088774847200773E-2</v>
      </c>
      <c r="Z42" s="8">
        <v>0</v>
      </c>
      <c r="AA42">
        <v>0.49747782768109838</v>
      </c>
      <c r="AB42" s="8"/>
      <c r="AE42">
        <v>0.48840391769110109</v>
      </c>
      <c r="AF42" s="14">
        <v>0.61973036412679261</v>
      </c>
      <c r="AG42" s="14" t="b">
        <v>1</v>
      </c>
      <c r="AH42">
        <v>8.9616106805270129E-2</v>
      </c>
      <c r="AI42">
        <v>-9.3270734816379279E-4</v>
      </c>
      <c r="AJ42">
        <v>8.8110261885850139E-2</v>
      </c>
      <c r="AK42">
        <v>0</v>
      </c>
      <c r="AL42">
        <v>4.4277360206464736E-2</v>
      </c>
      <c r="AM42">
        <v>-2.5057821073782237E-3</v>
      </c>
      <c r="AN42">
        <v>-6.7094230832784343E-5</v>
      </c>
      <c r="AO42">
        <v>1.7278399139530811E-4</v>
      </c>
      <c r="AP42">
        <v>1.6604408831750631E-5</v>
      </c>
      <c r="AQ42">
        <v>-5.6991340998229064E-6</v>
      </c>
      <c r="AR42">
        <v>0</v>
      </c>
    </row>
    <row r="43" spans="10:44" x14ac:dyDescent="0.25">
      <c r="J43" s="8">
        <v>3.4103734396570653</v>
      </c>
      <c r="K43">
        <v>3.0932872277035948</v>
      </c>
      <c r="L43">
        <v>-0.56095036983489988</v>
      </c>
      <c r="M43" s="30">
        <v>3.1972837297074674E-2</v>
      </c>
      <c r="N43" s="31">
        <v>4.338500102550949E-2</v>
      </c>
      <c r="O43" s="31">
        <v>0</v>
      </c>
      <c r="P43" s="8"/>
      <c r="X43" s="8">
        <v>-4.2269362386242806E-3</v>
      </c>
      <c r="Y43">
        <v>1.2466824721331669E-2</v>
      </c>
      <c r="Z43" s="8">
        <v>0</v>
      </c>
      <c r="AA43">
        <v>0.4968833341860257</v>
      </c>
      <c r="AB43" s="8"/>
      <c r="AE43">
        <v>0.48781941363923337</v>
      </c>
      <c r="AF43" s="14">
        <v>0.61959260755320544</v>
      </c>
      <c r="AG43" s="14" t="b">
        <v>1</v>
      </c>
      <c r="AH43">
        <v>8.9661112548393304E-2</v>
      </c>
      <c r="AI43">
        <v>-9.33175759354783E-4</v>
      </c>
      <c r="AJ43">
        <v>8.8154511384677031E-2</v>
      </c>
      <c r="AK43">
        <v>0</v>
      </c>
      <c r="AL43">
        <v>4.4352003844318748E-2</v>
      </c>
      <c r="AM43">
        <v>-2.5100064037520821E-3</v>
      </c>
      <c r="AN43">
        <v>-6.7207339596383223E-5</v>
      </c>
      <c r="AO43">
        <v>1.7307527401966833E-4</v>
      </c>
      <c r="AP43">
        <v>7.6413613812449973E-6</v>
      </c>
      <c r="AQ43">
        <v>-2.7892889235948487E-6</v>
      </c>
      <c r="AR43">
        <v>0</v>
      </c>
    </row>
    <row r="44" spans="10:44" x14ac:dyDescent="0.25">
      <c r="J44" s="8">
        <v>2.9579321434031423</v>
      </c>
      <c r="K44">
        <v>2.6767994225467957</v>
      </c>
      <c r="L44">
        <v>-0.48880135893821719</v>
      </c>
      <c r="M44" s="30">
        <v>4.9362952468228867E-2</v>
      </c>
      <c r="N44" s="31">
        <v>6.4356329367816947E-2</v>
      </c>
      <c r="O44" s="31">
        <v>0</v>
      </c>
      <c r="P44" s="8"/>
      <c r="X44" s="8">
        <v>-4.1095341767544077E-3</v>
      </c>
      <c r="Y44">
        <v>1.1450890293984621E-2</v>
      </c>
      <c r="Z44" s="8">
        <v>0</v>
      </c>
      <c r="AA44">
        <v>0.49713730870679812</v>
      </c>
      <c r="AB44" s="8"/>
      <c r="AE44">
        <v>0.48806912055393137</v>
      </c>
      <c r="AF44" s="14">
        <v>0.61965146111789959</v>
      </c>
      <c r="AG44" s="14" t="b">
        <v>1</v>
      </c>
      <c r="AH44">
        <v>8.9641885457220807E-2</v>
      </c>
      <c r="AI44">
        <v>-9.3297564745682508E-4</v>
      </c>
      <c r="AJ44">
        <v>8.8135607371783525E-2</v>
      </c>
      <c r="AK44">
        <v>0</v>
      </c>
      <c r="AL44">
        <v>4.4320108721736029E-2</v>
      </c>
      <c r="AM44">
        <v>-2.5082013677899624E-3</v>
      </c>
      <c r="AN44">
        <v>-6.7159008379096867E-5</v>
      </c>
      <c r="AO44">
        <v>1.7295080935962116E-4</v>
      </c>
      <c r="AP44">
        <v>1.1577251064543029E-5</v>
      </c>
      <c r="AQ44">
        <v>-4.0439523046636685E-6</v>
      </c>
      <c r="AR44">
        <v>0</v>
      </c>
    </row>
    <row r="45" spans="10:44" x14ac:dyDescent="0.25">
      <c r="J45" s="8">
        <v>2.0729527824802534</v>
      </c>
      <c r="K45">
        <v>1.8933624061432757</v>
      </c>
      <c r="L45">
        <v>-0.34261700630187991</v>
      </c>
      <c r="M45" s="30">
        <v>0.11175359521144398</v>
      </c>
      <c r="N45" s="31">
        <v>0.13086156517244049</v>
      </c>
      <c r="O45" s="31">
        <v>0</v>
      </c>
      <c r="P45" s="8"/>
      <c r="X45" s="8">
        <v>-3.7369471069074703E-3</v>
      </c>
      <c r="Y45">
        <v>7.8192493572477942E-3</v>
      </c>
      <c r="Z45" s="8">
        <v>0</v>
      </c>
      <c r="AA45">
        <v>0.49804519762050364</v>
      </c>
      <c r="AB45" s="8"/>
      <c r="AE45">
        <v>0.48896175395211811</v>
      </c>
      <c r="AF45" s="14">
        <v>0.61986181762519188</v>
      </c>
      <c r="AG45" s="14" t="b">
        <v>1</v>
      </c>
      <c r="AH45">
        <v>8.9573155324237166E-2</v>
      </c>
      <c r="AI45">
        <v>-9.3226031734085148E-4</v>
      </c>
      <c r="AJ45">
        <v>8.8068032130763557E-2</v>
      </c>
      <c r="AK45">
        <v>0</v>
      </c>
      <c r="AL45">
        <v>4.4206171664148565E-2</v>
      </c>
      <c r="AM45">
        <v>-2.5017533447158967E-3</v>
      </c>
      <c r="AN45">
        <v>-6.6986357633737727E-5</v>
      </c>
      <c r="AO45">
        <v>1.7250619162527563E-4</v>
      </c>
      <c r="AP45">
        <v>2.4426803535445148E-5</v>
      </c>
      <c r="AQ45">
        <v>-7.6188150282145294E-6</v>
      </c>
      <c r="AR45">
        <v>0</v>
      </c>
    </row>
    <row r="46" spans="10:44" x14ac:dyDescent="0.25">
      <c r="J46" s="8">
        <v>2.7236163142525021</v>
      </c>
      <c r="K46">
        <v>2.5039799654169466</v>
      </c>
      <c r="L46">
        <v>-0.44448576569557191</v>
      </c>
      <c r="M46" s="30">
        <v>6.1594110614034601E-2</v>
      </c>
      <c r="N46" s="31">
        <v>7.5579640216096255E-2</v>
      </c>
      <c r="O46" s="31">
        <v>0</v>
      </c>
      <c r="P46" s="8"/>
      <c r="X46" s="8">
        <v>-4.0465920780724789E-3</v>
      </c>
      <c r="Y46">
        <v>1.0741687295056715E-2</v>
      </c>
      <c r="Z46" s="8">
        <v>0</v>
      </c>
      <c r="AA46">
        <v>0.4973146039971294</v>
      </c>
      <c r="AB46" s="8"/>
      <c r="AE46">
        <v>0.48824343670109632</v>
      </c>
      <c r="AF46" s="14">
        <v>0.61969254370545401</v>
      </c>
      <c r="AG46" s="14" t="b">
        <v>1</v>
      </c>
      <c r="AH46">
        <v>8.9628463453881757E-2</v>
      </c>
      <c r="AI46">
        <v>-9.3283595380589898E-4</v>
      </c>
      <c r="AJ46">
        <v>8.8122410902182299E-2</v>
      </c>
      <c r="AK46">
        <v>0</v>
      </c>
      <c r="AL46">
        <v>4.4297849021091185E-2</v>
      </c>
      <c r="AM46">
        <v>-2.5069416278386339E-3</v>
      </c>
      <c r="AN46">
        <v>-6.7125277879212281E-5</v>
      </c>
      <c r="AO46">
        <v>1.7286394510423767E-4</v>
      </c>
      <c r="AP46">
        <v>1.4252837166917654E-5</v>
      </c>
      <c r="AQ46">
        <v>-4.6898658339219884E-6</v>
      </c>
      <c r="AR46">
        <v>0</v>
      </c>
    </row>
    <row r="47" spans="10:44" x14ac:dyDescent="0.25">
      <c r="J47" s="8">
        <v>2.9863074685008497</v>
      </c>
      <c r="K47">
        <v>2.7260505434909135</v>
      </c>
      <c r="L47">
        <v>-0.48957681894302374</v>
      </c>
      <c r="M47" s="30">
        <v>4.8048303418197852E-2</v>
      </c>
      <c r="N47" s="31">
        <v>6.1453561552448063E-2</v>
      </c>
      <c r="O47" s="31">
        <v>0</v>
      </c>
      <c r="P47" s="8"/>
      <c r="X47" s="8">
        <v>-4.1257428291632562E-3</v>
      </c>
      <c r="Y47">
        <v>1.1529688646565688E-2</v>
      </c>
      <c r="Z47" s="8">
        <v>0</v>
      </c>
      <c r="AA47">
        <v>0.49711760976885916</v>
      </c>
      <c r="AB47" s="8"/>
      <c r="AE47">
        <v>0.48804975262284678</v>
      </c>
      <c r="AF47" s="14">
        <v>0.61964689640499626</v>
      </c>
      <c r="AG47" s="14" t="b">
        <v>1</v>
      </c>
      <c r="AH47">
        <v>8.9643376755320678E-2</v>
      </c>
      <c r="AI47">
        <v>-9.3299116860303007E-4</v>
      </c>
      <c r="AJ47">
        <v>8.8137073611177466E-2</v>
      </c>
      <c r="AK47">
        <v>0</v>
      </c>
      <c r="AL47">
        <v>4.4322582245566927E-2</v>
      </c>
      <c r="AM47">
        <v>-2.5083413515588396E-3</v>
      </c>
      <c r="AN47">
        <v>-6.7162756551483548E-5</v>
      </c>
      <c r="AO47">
        <v>1.7296046181673063E-4</v>
      </c>
      <c r="AP47">
        <v>1.1285135960240531E-5</v>
      </c>
      <c r="AQ47">
        <v>-3.8737477418635197E-6</v>
      </c>
      <c r="AR47">
        <v>0</v>
      </c>
    </row>
    <row r="48" spans="10:44" x14ac:dyDescent="0.25">
      <c r="J48" s="8">
        <v>2.6057045746990402</v>
      </c>
      <c r="K48">
        <v>2.347296291886841</v>
      </c>
      <c r="L48">
        <v>-0.43348656296730043</v>
      </c>
      <c r="M48" s="30">
        <v>6.87721847752049E-2</v>
      </c>
      <c r="N48" s="31">
        <v>8.7280917623420995E-2</v>
      </c>
      <c r="O48" s="31">
        <v>0</v>
      </c>
      <c r="P48" s="8"/>
      <c r="X48" s="8">
        <v>-3.9811821039089108E-3</v>
      </c>
      <c r="Y48">
        <v>1.0317728461052895E-2</v>
      </c>
      <c r="Z48" s="8">
        <v>0</v>
      </c>
      <c r="AA48">
        <v>0.49742059076739226</v>
      </c>
      <c r="AB48" s="8"/>
      <c r="AE48">
        <v>0.4883476425455277</v>
      </c>
      <c r="AF48" s="14">
        <v>0.61971710197552066</v>
      </c>
      <c r="AG48" s="14" t="b">
        <v>1</v>
      </c>
      <c r="AH48">
        <v>8.9620439847378247E-2</v>
      </c>
      <c r="AI48">
        <v>-9.3275244563966202E-4</v>
      </c>
      <c r="AJ48">
        <v>8.8114522118619878E-2</v>
      </c>
      <c r="AK48">
        <v>0</v>
      </c>
      <c r="AL48">
        <v>4.428454447118952E-2</v>
      </c>
      <c r="AM48">
        <v>-2.5061886854108365E-3</v>
      </c>
      <c r="AN48">
        <v>-6.7105117270312698E-5</v>
      </c>
      <c r="AO48">
        <v>1.7281202662434165E-4</v>
      </c>
      <c r="AP48">
        <v>1.5787367340151207E-5</v>
      </c>
      <c r="AQ48">
        <v>-5.3457922086292695E-6</v>
      </c>
      <c r="AR48">
        <v>0</v>
      </c>
    </row>
    <row r="49" spans="1:44" x14ac:dyDescent="0.25">
      <c r="J49" s="8">
        <v>2.6108688388398149</v>
      </c>
      <c r="K49">
        <v>2.3772494266056556</v>
      </c>
      <c r="L49">
        <v>-0.4302253317832947</v>
      </c>
      <c r="M49" s="30">
        <v>6.8442187648903863E-2</v>
      </c>
      <c r="N49" s="31">
        <v>8.4924074327450569E-2</v>
      </c>
      <c r="O49" s="31">
        <v>0</v>
      </c>
      <c r="P49" s="8"/>
      <c r="X49" s="8">
        <v>-3.9943142589920601E-3</v>
      </c>
      <c r="Y49">
        <v>1.0339975304092197E-2</v>
      </c>
      <c r="Z49" s="8">
        <v>0</v>
      </c>
      <c r="AA49">
        <v>0.49741502920496783</v>
      </c>
      <c r="AB49" s="8"/>
      <c r="AE49">
        <v>0.48834217443561778</v>
      </c>
      <c r="AF49" s="14">
        <v>0.61971581331715975</v>
      </c>
      <c r="AG49" s="14" t="b">
        <v>1</v>
      </c>
      <c r="AH49">
        <v>8.9620860878310782E-2</v>
      </c>
      <c r="AI49">
        <v>-9.3275682764930941E-4</v>
      </c>
      <c r="AJ49">
        <v>8.8114936074849964E-2</v>
      </c>
      <c r="AK49">
        <v>0</v>
      </c>
      <c r="AL49">
        <v>4.4285242573784599E-2</v>
      </c>
      <c r="AM49">
        <v>-2.5062281930279054E-3</v>
      </c>
      <c r="AN49">
        <v>-6.7106175116951272E-5</v>
      </c>
      <c r="AO49">
        <v>1.7281475083717228E-4</v>
      </c>
      <c r="AP49">
        <v>1.5717428537112506E-5</v>
      </c>
      <c r="AQ49">
        <v>-5.214953465246679E-6</v>
      </c>
      <c r="AR49">
        <v>0</v>
      </c>
    </row>
    <row r="50" spans="1:44" x14ac:dyDescent="0.25">
      <c r="J50" s="8">
        <v>2.5846987333234246</v>
      </c>
      <c r="K50">
        <v>2.3078379005383551</v>
      </c>
      <c r="L50">
        <v>-0.4333985531330109</v>
      </c>
      <c r="M50" s="30">
        <v>7.0129699736721007E-2</v>
      </c>
      <c r="N50" s="31">
        <v>9.0475906438780562E-2</v>
      </c>
      <c r="O50" s="31">
        <v>0</v>
      </c>
      <c r="P50" s="8"/>
      <c r="X50" s="8">
        <v>-3.9633451434868744E-3</v>
      </c>
      <c r="Y50">
        <v>1.0236061396862757E-2</v>
      </c>
      <c r="Z50" s="8">
        <v>0</v>
      </c>
      <c r="AA50">
        <v>0.49744100699436944</v>
      </c>
      <c r="AB50" s="8"/>
      <c r="AE50">
        <v>0.48836771571283888</v>
      </c>
      <c r="AF50" s="14">
        <v>0.61972183256364266</v>
      </c>
      <c r="AG50" s="14" t="b">
        <v>1</v>
      </c>
      <c r="AH50">
        <v>8.9618894263880616E-2</v>
      </c>
      <c r="AI50">
        <v>-9.3273635950139034E-4</v>
      </c>
      <c r="AJ50">
        <v>8.8113002506001153E-2</v>
      </c>
      <c r="AK50">
        <v>0</v>
      </c>
      <c r="AL50">
        <v>4.428198181011854E-2</v>
      </c>
      <c r="AM50">
        <v>-2.5060436571112945E-3</v>
      </c>
      <c r="AN50">
        <v>-6.7101234026762481E-5</v>
      </c>
      <c r="AO50">
        <v>1.7280202632607698E-4</v>
      </c>
      <c r="AP50">
        <v>1.6074600080226705E-5</v>
      </c>
      <c r="AQ50">
        <v>-5.5217616748840202E-6</v>
      </c>
      <c r="AR50">
        <v>0</v>
      </c>
    </row>
    <row r="51" spans="1:44" x14ac:dyDescent="0.25">
      <c r="J51" s="8">
        <v>2.6108688388398149</v>
      </c>
      <c r="K51">
        <v>2.3772494266056556</v>
      </c>
      <c r="L51">
        <v>-0.4302253317832947</v>
      </c>
      <c r="M51" s="30">
        <v>6.8442187648903863E-2</v>
      </c>
      <c r="N51" s="31">
        <v>8.4924074327450569E-2</v>
      </c>
      <c r="O51" s="31">
        <v>0</v>
      </c>
      <c r="P51" s="8"/>
      <c r="X51" s="8">
        <v>-3.9943142589920601E-3</v>
      </c>
      <c r="Y51">
        <v>1.0339975304092197E-2</v>
      </c>
      <c r="Z51" s="8">
        <v>0</v>
      </c>
      <c r="AA51">
        <v>0.49741502920496783</v>
      </c>
      <c r="AB51" s="8"/>
      <c r="AE51">
        <v>0.48834217443561778</v>
      </c>
      <c r="AF51" s="14">
        <v>0.61971581331715975</v>
      </c>
      <c r="AG51" s="14" t="b">
        <v>1</v>
      </c>
      <c r="AH51">
        <v>8.9620860878310782E-2</v>
      </c>
      <c r="AI51">
        <v>-9.3275682764930941E-4</v>
      </c>
      <c r="AJ51">
        <v>8.8114936074849964E-2</v>
      </c>
      <c r="AK51">
        <v>0</v>
      </c>
      <c r="AL51">
        <v>4.4285242573784599E-2</v>
      </c>
      <c r="AM51">
        <v>-2.5062281930279054E-3</v>
      </c>
      <c r="AN51">
        <v>-6.7106175116951272E-5</v>
      </c>
      <c r="AO51">
        <v>1.7281475083717228E-4</v>
      </c>
      <c r="AP51">
        <v>1.5717428537112506E-5</v>
      </c>
      <c r="AQ51">
        <v>-5.214953465246679E-6</v>
      </c>
      <c r="AR51">
        <v>0</v>
      </c>
    </row>
    <row r="52" spans="1:44" x14ac:dyDescent="0.25">
      <c r="J52" s="8">
        <v>2.6952409891547946</v>
      </c>
      <c r="K52">
        <v>2.4547288444728288</v>
      </c>
      <c r="L52">
        <v>-0.44371030569076542</v>
      </c>
      <c r="M52" s="30">
        <v>6.3254759135766989E-2</v>
      </c>
      <c r="N52" s="31">
        <v>7.9093424948608979E-2</v>
      </c>
      <c r="O52" s="31">
        <v>0</v>
      </c>
      <c r="P52" s="8"/>
      <c r="X52" s="8">
        <v>-4.0269689494110668E-3</v>
      </c>
      <c r="Y52">
        <v>1.0642381961228367E-2</v>
      </c>
      <c r="Z52" s="8">
        <v>0</v>
      </c>
      <c r="AA52">
        <v>0.4973394296210607</v>
      </c>
      <c r="AB52" s="8"/>
      <c r="AE52">
        <v>0.48826784517301108</v>
      </c>
      <c r="AF52" s="14">
        <v>0.61969829612341298</v>
      </c>
      <c r="AG52" s="14" t="b">
        <v>1</v>
      </c>
      <c r="AH52">
        <v>8.9626584055873884E-2</v>
      </c>
      <c r="AI52">
        <v>-9.3281639338986934E-4</v>
      </c>
      <c r="AJ52">
        <v>8.8120563084233439E-2</v>
      </c>
      <c r="AK52">
        <v>0</v>
      </c>
      <c r="AL52">
        <v>4.4294732502034084E-2</v>
      </c>
      <c r="AM52">
        <v>-2.5067652551358762E-3</v>
      </c>
      <c r="AN52">
        <v>-6.7120555365312706E-5</v>
      </c>
      <c r="AO52">
        <v>1.7285178348034152E-4</v>
      </c>
      <c r="AP52">
        <v>1.4610179663402017E-5</v>
      </c>
      <c r="AQ52">
        <v>-4.8889038603765289E-6</v>
      </c>
      <c r="AR52">
        <v>0</v>
      </c>
    </row>
    <row r="53" spans="1:44" x14ac:dyDescent="0.25">
      <c r="J53" s="8">
        <v>2.5592824527851752</v>
      </c>
      <c r="K53">
        <v>2.3087003194362348</v>
      </c>
      <c r="L53">
        <v>-0.42541318058967592</v>
      </c>
      <c r="M53" s="30">
        <v>7.1805351622792432E-2</v>
      </c>
      <c r="N53" s="31">
        <v>9.040496303347402E-2</v>
      </c>
      <c r="O53" s="31">
        <v>0</v>
      </c>
      <c r="P53" s="8"/>
      <c r="X53" s="8">
        <v>-3.9636761329824039E-3</v>
      </c>
      <c r="Y53">
        <v>1.0141338978869818E-2</v>
      </c>
      <c r="Z53" s="8">
        <v>0</v>
      </c>
      <c r="AA53">
        <v>0.49746468698430529</v>
      </c>
      <c r="AB53" s="8"/>
      <c r="AE53">
        <v>0.4883909978011719</v>
      </c>
      <c r="AF53" s="14">
        <v>0.61972731936087488</v>
      </c>
      <c r="AG53" s="14" t="b">
        <v>1</v>
      </c>
      <c r="AH53">
        <v>8.961710160292867E-2</v>
      </c>
      <c r="AI53">
        <v>-9.3271770182809641E-4</v>
      </c>
      <c r="AJ53">
        <v>8.8111239967640809E-2</v>
      </c>
      <c r="AK53">
        <v>0</v>
      </c>
      <c r="AL53">
        <v>4.4279009557339356E-2</v>
      </c>
      <c r="AM53">
        <v>-2.5058754488486985E-3</v>
      </c>
      <c r="AN53">
        <v>-6.7096730121987442E-5</v>
      </c>
      <c r="AO53">
        <v>1.7279042767393899E-4</v>
      </c>
      <c r="AP53">
        <v>1.6427918621026192E-5</v>
      </c>
      <c r="AQ53">
        <v>-5.5174919836590293E-6</v>
      </c>
      <c r="AR53">
        <v>0</v>
      </c>
    </row>
    <row r="54" spans="1:44" x14ac:dyDescent="0.25">
      <c r="J54" s="8">
        <v>3.0253601066926228</v>
      </c>
      <c r="K54">
        <v>2.7548537863458886</v>
      </c>
      <c r="L54">
        <v>-0.49696275115013122</v>
      </c>
      <c r="M54" s="30">
        <v>4.6293248474058524E-2</v>
      </c>
      <c r="N54" s="31">
        <v>5.9813111158840838E-2</v>
      </c>
      <c r="O54" s="31">
        <v>0</v>
      </c>
      <c r="P54" s="8"/>
      <c r="X54" s="8">
        <v>-4.1349414861826164E-3</v>
      </c>
      <c r="Y54">
        <v>1.1631498013990674E-2</v>
      </c>
      <c r="Z54" s="8">
        <v>0</v>
      </c>
      <c r="AA54">
        <v>0.49709215828034364</v>
      </c>
      <c r="AB54" s="8"/>
      <c r="AE54">
        <v>0.48802472880292835</v>
      </c>
      <c r="AF54" s="14">
        <v>0.61964099865784561</v>
      </c>
      <c r="AG54" s="14" t="b">
        <v>1</v>
      </c>
      <c r="AH54">
        <v>8.9645303548872346E-2</v>
      </c>
      <c r="AI54">
        <v>-9.3301122230284039E-4</v>
      </c>
      <c r="AJ54">
        <v>8.8138968028269329E-2</v>
      </c>
      <c r="AK54">
        <v>0</v>
      </c>
      <c r="AL54">
        <v>4.4325778182494731E-2</v>
      </c>
      <c r="AM54">
        <v>-2.5085222187454254E-3</v>
      </c>
      <c r="AN54">
        <v>-6.7167599408622295E-5</v>
      </c>
      <c r="AO54">
        <v>1.7297293335378838E-4</v>
      </c>
      <c r="AP54">
        <v>1.0893756272149108E-5</v>
      </c>
      <c r="AQ54">
        <v>-3.7772037308151796E-6</v>
      </c>
      <c r="AR54">
        <v>0</v>
      </c>
    </row>
    <row r="55" spans="1:44" x14ac:dyDescent="0.25">
      <c r="J55" s="8">
        <v>2.5338661722469262</v>
      </c>
      <c r="K55">
        <v>2.3095627383341144</v>
      </c>
      <c r="L55">
        <v>-0.41742780804634094</v>
      </c>
      <c r="M55" s="30">
        <v>7.3517875430748017E-2</v>
      </c>
      <c r="N55" s="31">
        <v>9.0334069730917704E-2</v>
      </c>
      <c r="O55" s="31">
        <v>0</v>
      </c>
      <c r="P55" s="8"/>
      <c r="X55" s="8">
        <v>-3.9640054369830474E-3</v>
      </c>
      <c r="Y55">
        <v>1.0044529797725315E-2</v>
      </c>
      <c r="Z55" s="8">
        <v>0</v>
      </c>
      <c r="AA55">
        <v>0.49748888866324131</v>
      </c>
      <c r="AB55" s="8"/>
      <c r="AE55">
        <v>0.48841479281241656</v>
      </c>
      <c r="AF55" s="14">
        <v>0.61973292700500426</v>
      </c>
      <c r="AG55" s="14" t="b">
        <v>1</v>
      </c>
      <c r="AH55">
        <v>8.9615269449796975E-2</v>
      </c>
      <c r="AI55">
        <v>-9.3269863312772758E-4</v>
      </c>
      <c r="AJ55">
        <v>8.8109438600699044E-2</v>
      </c>
      <c r="AK55">
        <v>0</v>
      </c>
      <c r="AL55">
        <v>4.4275971910495177E-2</v>
      </c>
      <c r="AM55">
        <v>-2.5057035397494389E-3</v>
      </c>
      <c r="AN55">
        <v>-6.7092127124482586E-5</v>
      </c>
      <c r="AO55">
        <v>1.7277857383387853E-4</v>
      </c>
      <c r="AP55">
        <v>1.6787532534319915E-5</v>
      </c>
      <c r="AQ55">
        <v>-5.5132167519015373E-6</v>
      </c>
      <c r="AR55">
        <v>0</v>
      </c>
    </row>
    <row r="56" spans="1:44" x14ac:dyDescent="0.25">
      <c r="J56" s="8">
        <v>3.1974122366945577</v>
      </c>
      <c r="K56">
        <v>2.8795720143954595</v>
      </c>
      <c r="L56">
        <v>-0.52985572099685663</v>
      </c>
      <c r="M56" s="30">
        <v>3.9263221122857586E-2</v>
      </c>
      <c r="N56" s="31">
        <v>5.3172679361094849E-2</v>
      </c>
      <c r="O56" s="31">
        <v>0</v>
      </c>
      <c r="P56" s="8"/>
      <c r="X56" s="8">
        <v>-4.1721741901480343E-3</v>
      </c>
      <c r="Y56">
        <v>1.2039409672017866E-2</v>
      </c>
      <c r="Z56" s="8">
        <v>0</v>
      </c>
      <c r="AA56">
        <v>0.49699018393732164</v>
      </c>
      <c r="AB56" s="8"/>
      <c r="AE56">
        <v>0.48792446796378219</v>
      </c>
      <c r="AF56" s="14">
        <v>0.6196173682951247</v>
      </c>
      <c r="AG56" s="14" t="b">
        <v>1</v>
      </c>
      <c r="AH56">
        <v>8.9653023488150255E-2</v>
      </c>
      <c r="AI56">
        <v>-9.3309156995850817E-4</v>
      </c>
      <c r="AJ56">
        <v>8.8146558247212861E-2</v>
      </c>
      <c r="AK56">
        <v>0</v>
      </c>
      <c r="AL56">
        <v>4.4338584050488704E-2</v>
      </c>
      <c r="AM56">
        <v>-2.5092469393416653E-3</v>
      </c>
      <c r="AN56">
        <v>-6.7187004356414933E-5</v>
      </c>
      <c r="AO56">
        <v>1.7302290582222286E-4</v>
      </c>
      <c r="AP56">
        <v>9.3102412336846349E-6</v>
      </c>
      <c r="AQ56">
        <v>-3.3825529494934703E-6</v>
      </c>
      <c r="AR56">
        <v>0</v>
      </c>
    </row>
    <row r="57" spans="1:44" x14ac:dyDescent="0.25">
      <c r="J57" s="8">
        <v>2.4844850057736032</v>
      </c>
      <c r="K57">
        <v>2.2208532260415104</v>
      </c>
      <c r="L57">
        <v>-0.41656433820724492</v>
      </c>
      <c r="M57" s="30">
        <v>7.6953021484336442E-2</v>
      </c>
      <c r="N57" s="31">
        <v>9.7893429789074754E-2</v>
      </c>
      <c r="O57" s="31">
        <v>0</v>
      </c>
      <c r="P57" s="8"/>
      <c r="X57" s="8">
        <v>-3.9217945794986549E-3</v>
      </c>
      <c r="Y57">
        <v>9.8386702585951547E-3</v>
      </c>
      <c r="Z57" s="8">
        <v>0</v>
      </c>
      <c r="AA57">
        <v>0.49754035227636123</v>
      </c>
      <c r="AB57" s="8"/>
      <c r="AE57">
        <v>0.48846539166781472</v>
      </c>
      <c r="AF57" s="14">
        <v>0.61974485126274415</v>
      </c>
      <c r="AG57" s="14" t="b">
        <v>1</v>
      </c>
      <c r="AH57">
        <v>8.9611373476601877E-2</v>
      </c>
      <c r="AI57">
        <v>-9.326580845817478E-4</v>
      </c>
      <c r="AJ57">
        <v>8.8105608092649126E-2</v>
      </c>
      <c r="AK57">
        <v>0</v>
      </c>
      <c r="AL57">
        <v>4.4269512804709449E-2</v>
      </c>
      <c r="AM57">
        <v>-2.5053380005295744E-3</v>
      </c>
      <c r="AN57">
        <v>-6.7082339532527235E-5</v>
      </c>
      <c r="AO57">
        <v>1.7275336839992088E-4</v>
      </c>
      <c r="AP57">
        <v>1.7504229377235176E-5</v>
      </c>
      <c r="AQ57">
        <v>-5.9240619442741039E-6</v>
      </c>
      <c r="AR57">
        <v>0</v>
      </c>
    </row>
    <row r="58" spans="1:44" x14ac:dyDescent="0.25">
      <c r="J58" s="8">
        <v>2.4262829609750138</v>
      </c>
      <c r="K58">
        <v>2.2127853342416386</v>
      </c>
      <c r="L58">
        <v>-0.399906142950058</v>
      </c>
      <c r="M58" s="30">
        <v>8.1190321270174115E-2</v>
      </c>
      <c r="N58" s="31">
        <v>9.8608222804455761E-2</v>
      </c>
      <c r="O58" s="31">
        <v>0</v>
      </c>
      <c r="P58" s="8"/>
      <c r="X58" s="8">
        <v>-3.9176539791635542E-3</v>
      </c>
      <c r="Y58">
        <v>9.5977862396566457E-3</v>
      </c>
      <c r="Z58" s="8">
        <v>0</v>
      </c>
      <c r="AA58">
        <v>0.49760057185916784</v>
      </c>
      <c r="AB58" s="8"/>
      <c r="AE58">
        <v>0.48852459936385173</v>
      </c>
      <c r="AF58" s="14">
        <v>0.61975880411877327</v>
      </c>
      <c r="AG58" s="14" t="b">
        <v>1</v>
      </c>
      <c r="AH58">
        <v>8.9606814655389777E-2</v>
      </c>
      <c r="AI58">
        <v>-9.3261063724002469E-4</v>
      </c>
      <c r="AJ58">
        <v>8.8101125874605862E-2</v>
      </c>
      <c r="AK58">
        <v>0</v>
      </c>
      <c r="AL58">
        <v>4.426195525796546E-2</v>
      </c>
      <c r="AM58">
        <v>-2.5049102974027742E-3</v>
      </c>
      <c r="AN58">
        <v>-6.7070887454458302E-5</v>
      </c>
      <c r="AO58">
        <v>1.7272387650868134E-4</v>
      </c>
      <c r="AP58">
        <v>1.8380155771603018E-5</v>
      </c>
      <c r="AQ58">
        <v>-5.9615717663418651E-6</v>
      </c>
      <c r="AR58">
        <v>0</v>
      </c>
    </row>
    <row r="59" spans="1:44" x14ac:dyDescent="0.25">
      <c r="J59" s="8">
        <v>3.0179906229705313</v>
      </c>
      <c r="K59">
        <v>2.7450610567502567</v>
      </c>
      <c r="L59">
        <v>-0.49627530097961425</v>
      </c>
      <c r="M59" s="30">
        <v>4.661970258302079E-2</v>
      </c>
      <c r="N59" s="31">
        <v>6.0366189931035645E-2</v>
      </c>
      <c r="O59" s="31">
        <v>0</v>
      </c>
      <c r="P59" s="8"/>
      <c r="X59" s="8">
        <v>-4.1318502731025443E-3</v>
      </c>
      <c r="Y59">
        <v>1.1612184955218862E-2</v>
      </c>
      <c r="Z59" s="8">
        <v>0</v>
      </c>
      <c r="AA59">
        <v>0.49709698638200528</v>
      </c>
      <c r="AB59" s="8"/>
      <c r="AE59">
        <v>0.4880294757766252</v>
      </c>
      <c r="AF59" s="14">
        <v>0.61964211745260223</v>
      </c>
      <c r="AG59" s="14" t="b">
        <v>1</v>
      </c>
      <c r="AH59">
        <v>8.9644938039463537E-2</v>
      </c>
      <c r="AI59">
        <v>-9.3300741815062298E-4</v>
      </c>
      <c r="AJ59">
        <v>8.8138608660619025E-2</v>
      </c>
      <c r="AK59">
        <v>0</v>
      </c>
      <c r="AL59">
        <v>4.4325171911522396E-2</v>
      </c>
      <c r="AM59">
        <v>-2.5084879081418211E-3</v>
      </c>
      <c r="AN59">
        <v>-6.7166680715990778E-5</v>
      </c>
      <c r="AO59">
        <v>1.729705674964297E-4</v>
      </c>
      <c r="AP59">
        <v>1.0966672425835255E-5</v>
      </c>
      <c r="AQ59">
        <v>-3.8098360563791915E-6</v>
      </c>
      <c r="AR59">
        <v>0</v>
      </c>
    </row>
    <row r="60" spans="1:44" ht="15.75" thickBot="1" x14ac:dyDescent="0.3">
      <c r="A60" s="1"/>
      <c r="B60" s="1"/>
      <c r="C60" s="1"/>
      <c r="D60" s="1"/>
      <c r="E60" s="1"/>
      <c r="F60" s="1"/>
      <c r="G60" s="1"/>
      <c r="H60" s="1"/>
      <c r="I60" s="1"/>
      <c r="J60" s="11">
        <v>2.6108688388398149</v>
      </c>
      <c r="K60" s="1">
        <v>2.3772494266056556</v>
      </c>
      <c r="L60" s="1">
        <v>-0.4302253317832947</v>
      </c>
      <c r="M60" s="32">
        <v>6.8442187648903863E-2</v>
      </c>
      <c r="N60" s="33">
        <v>8.4924074327450569E-2</v>
      </c>
      <c r="O60" s="33">
        <v>0</v>
      </c>
      <c r="P60" s="11"/>
      <c r="Q60" s="1"/>
      <c r="R60" s="1"/>
      <c r="S60" s="1"/>
      <c r="T60" s="1"/>
      <c r="U60" s="1"/>
      <c r="V60" s="1"/>
      <c r="W60" s="1"/>
      <c r="X60" s="11">
        <v>-3.9943142589920601E-3</v>
      </c>
      <c r="Y60" s="1">
        <v>1.0339975304092197E-2</v>
      </c>
      <c r="Z60" s="11">
        <v>0</v>
      </c>
      <c r="AA60" s="1">
        <v>0.49741502920496783</v>
      </c>
      <c r="AB60" s="11"/>
      <c r="AC60" s="1"/>
      <c r="AD60" s="12"/>
      <c r="AE60" s="12">
        <v>0.48834217443561778</v>
      </c>
      <c r="AF60" s="15">
        <v>0.61971581331715975</v>
      </c>
      <c r="AG60" s="15" t="b">
        <v>1</v>
      </c>
      <c r="AH60" s="11">
        <v>8.9620860878310782E-2</v>
      </c>
      <c r="AI60" s="1">
        <v>-9.3275682764930941E-4</v>
      </c>
      <c r="AJ60" s="1">
        <v>8.8114936074849964E-2</v>
      </c>
      <c r="AK60" s="1">
        <v>0</v>
      </c>
      <c r="AL60" s="1">
        <v>4.4285242573784599E-2</v>
      </c>
      <c r="AM60" s="1">
        <v>-2.5062281930279054E-3</v>
      </c>
      <c r="AN60" s="1">
        <v>-6.7106175116951272E-5</v>
      </c>
      <c r="AO60" s="1">
        <v>1.7281475083717228E-4</v>
      </c>
      <c r="AP60" s="1">
        <v>1.5717428537112506E-5</v>
      </c>
      <c r="AQ60" s="1">
        <v>-5.214953465246679E-6</v>
      </c>
      <c r="AR60" s="1">
        <v>0</v>
      </c>
    </row>
  </sheetData>
  <mergeCells count="3">
    <mergeCell ref="AI1:AJ1"/>
    <mergeCell ref="AK1:AL1"/>
    <mergeCell ref="AP1:AR1"/>
  </mergeCells>
  <conditionalFormatting sqref="Q2:Q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6B3CC-7B6F-40D7-B9E7-1BA4B02DBB6D}">
  <sheetPr codeName="Foglio4"/>
  <dimension ref="A1:T22"/>
  <sheetViews>
    <sheetView showGridLines="0" tabSelected="1" topLeftCell="A2" zoomScale="85" zoomScaleNormal="85" workbookViewId="0">
      <selection activeCell="P13" sqref="P13"/>
    </sheetView>
  </sheetViews>
  <sheetFormatPr defaultRowHeight="15" x14ac:dyDescent="0.25"/>
  <cols>
    <col min="1" max="2" width="12" customWidth="1"/>
    <col min="3" max="3" width="22.85546875" customWidth="1"/>
    <col min="4" max="4" width="12" customWidth="1"/>
    <col min="5" max="5" width="21.28515625" customWidth="1"/>
    <col min="6" max="6" width="12" customWidth="1"/>
    <col min="7" max="7" width="20.7109375" customWidth="1"/>
    <col min="8" max="10" width="12" customWidth="1"/>
    <col min="11" max="11" width="7.85546875" customWidth="1"/>
    <col min="18" max="18" width="2.85546875" customWidth="1"/>
    <col min="20" max="20" width="31.28515625" customWidth="1"/>
  </cols>
  <sheetData>
    <row r="1" spans="1:20" x14ac:dyDescent="0.25">
      <c r="B1" s="2"/>
      <c r="C1" s="2"/>
      <c r="D1" s="2"/>
      <c r="E1" s="2"/>
      <c r="F1" s="2"/>
      <c r="G1" s="2"/>
      <c r="H1" s="2"/>
    </row>
    <row r="2" spans="1:20" ht="34.5" customHeight="1" thickBot="1" x14ac:dyDescent="0.45">
      <c r="A2" s="17"/>
      <c r="B2" s="19" t="s">
        <v>42</v>
      </c>
      <c r="C2" s="17"/>
      <c r="D2" s="17"/>
      <c r="E2" s="17"/>
      <c r="F2" s="17"/>
      <c r="G2" s="17"/>
      <c r="H2" s="17"/>
      <c r="I2" s="17"/>
      <c r="J2" s="17"/>
      <c r="L2" t="s">
        <v>52</v>
      </c>
    </row>
    <row r="3" spans="1:20" ht="34.5" customHeight="1" thickBot="1" x14ac:dyDescent="0.3">
      <c r="A3" s="17"/>
      <c r="B3" s="17"/>
      <c r="C3" s="17"/>
      <c r="D3" s="20" t="s">
        <v>2</v>
      </c>
      <c r="E3" s="17"/>
      <c r="F3" s="17"/>
      <c r="G3" s="17"/>
      <c r="H3" s="17"/>
      <c r="I3" s="17"/>
      <c r="J3" s="17"/>
    </row>
    <row r="4" spans="1:20" ht="34.5" customHeight="1" thickBot="1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S4" s="25" t="s">
        <v>59</v>
      </c>
      <c r="T4" s="26">
        <v>1000</v>
      </c>
    </row>
    <row r="5" spans="1:20" ht="34.5" customHeight="1" thickBot="1" x14ac:dyDescent="0.3">
      <c r="A5" s="17"/>
      <c r="B5" s="23" t="s">
        <v>0</v>
      </c>
      <c r="C5" s="17"/>
      <c r="D5" s="17"/>
      <c r="E5" s="17"/>
      <c r="F5" s="21" t="s">
        <v>5</v>
      </c>
      <c r="G5" s="17"/>
      <c r="H5" s="17"/>
      <c r="I5" s="17"/>
      <c r="J5" s="17"/>
      <c r="S5" s="25" t="s">
        <v>43</v>
      </c>
      <c r="T5" s="39">
        <f>COUNTIF(y_pred_arr,TRUE)/59</f>
        <v>0.96610169491525422</v>
      </c>
    </row>
    <row r="6" spans="1:20" ht="34.5" customHeight="1" thickBot="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S6" s="25" t="s">
        <v>45</v>
      </c>
      <c r="T6" s="34" cm="1">
        <f t="array" ref="T6">AVERAGE(-(Y*LN(Y_pred)+(1-Y)*LN(1-Y_pred)))</f>
        <v>0.59316237307204644</v>
      </c>
    </row>
    <row r="7" spans="1:20" ht="34.5" customHeight="1" thickBot="1" x14ac:dyDescent="0.3">
      <c r="A7" s="17"/>
      <c r="B7" s="17"/>
      <c r="C7" s="17"/>
      <c r="D7" s="20" t="s">
        <v>3</v>
      </c>
      <c r="E7" s="17"/>
      <c r="F7" s="17"/>
      <c r="G7" s="17"/>
      <c r="H7" s="22" t="s">
        <v>7</v>
      </c>
      <c r="I7" s="17"/>
      <c r="J7" s="17" t="s">
        <v>10</v>
      </c>
    </row>
    <row r="8" spans="1:20" ht="34.5" customHeight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</row>
    <row r="9" spans="1:20" ht="34.5" customHeight="1" thickBot="1" x14ac:dyDescent="0.3">
      <c r="A9" s="18"/>
      <c r="B9" s="23" t="s">
        <v>1</v>
      </c>
      <c r="C9" s="17"/>
      <c r="D9" s="17"/>
      <c r="E9" s="17"/>
      <c r="F9" s="21" t="s">
        <v>6</v>
      </c>
      <c r="G9" s="17"/>
      <c r="H9" s="17"/>
      <c r="I9" s="17"/>
      <c r="J9" s="17"/>
    </row>
    <row r="10" spans="1:20" ht="34.5" customHeight="1" thickBot="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</row>
    <row r="11" spans="1:20" ht="34.5" customHeight="1" thickBot="1" x14ac:dyDescent="0.3">
      <c r="A11" s="17"/>
      <c r="B11" s="17"/>
      <c r="C11" s="17"/>
      <c r="D11" s="20" t="s">
        <v>4</v>
      </c>
      <c r="E11" s="17"/>
      <c r="F11" s="17"/>
      <c r="G11" s="17"/>
      <c r="H11" s="17"/>
      <c r="I11" s="17"/>
      <c r="J11" s="17"/>
    </row>
    <row r="12" spans="1:20" ht="28.5" customHeight="1" x14ac:dyDescent="0.4">
      <c r="B12" s="19" t="s">
        <v>9</v>
      </c>
    </row>
    <row r="13" spans="1:20" ht="42" customHeight="1" thickBot="1" x14ac:dyDescent="0.3">
      <c r="D13" s="27" t="s">
        <v>49</v>
      </c>
    </row>
    <row r="14" spans="1:20" ht="42" customHeight="1" thickBot="1" x14ac:dyDescent="0.3">
      <c r="D14" s="20" t="s">
        <v>14</v>
      </c>
      <c r="F14" s="27" t="s">
        <v>47</v>
      </c>
    </row>
    <row r="15" spans="1:20" ht="42" customHeight="1" thickBot="1" x14ac:dyDescent="0.3">
      <c r="F15" s="21" t="s">
        <v>12</v>
      </c>
    </row>
    <row r="16" spans="1:20" ht="42" customHeight="1" thickBot="1" x14ac:dyDescent="0.3">
      <c r="D16" s="27" t="s">
        <v>50</v>
      </c>
      <c r="H16" s="28" t="s">
        <v>46</v>
      </c>
    </row>
    <row r="17" spans="4:8" ht="42" customHeight="1" thickBot="1" x14ac:dyDescent="0.3">
      <c r="D17" s="20" t="s">
        <v>15</v>
      </c>
      <c r="H17" s="22" t="s">
        <v>11</v>
      </c>
    </row>
    <row r="18" spans="4:8" ht="42" customHeight="1" thickBot="1" x14ac:dyDescent="0.3">
      <c r="F18" s="27" t="s">
        <v>48</v>
      </c>
    </row>
    <row r="19" spans="4:8" ht="42" customHeight="1" thickBot="1" x14ac:dyDescent="0.3">
      <c r="D19" s="27" t="s">
        <v>51</v>
      </c>
      <c r="F19" s="21" t="s">
        <v>13</v>
      </c>
    </row>
    <row r="20" spans="4:8" ht="42" customHeight="1" thickBot="1" x14ac:dyDescent="0.3">
      <c r="D20" s="20" t="s">
        <v>16</v>
      </c>
    </row>
    <row r="21" spans="4:8" ht="42" customHeight="1" x14ac:dyDescent="0.25"/>
    <row r="22" spans="4:8" ht="42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AggiornaParametri">
                <anchor moveWithCells="1" sizeWithCells="1">
                  <from>
                    <xdr:col>10</xdr:col>
                    <xdr:colOff>514350</xdr:colOff>
                    <xdr:row>2</xdr:row>
                    <xdr:rowOff>266700</xdr:rowOff>
                  </from>
                  <to>
                    <xdr:col>16</xdr:col>
                    <xdr:colOff>314325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iempiConNumeriCasuali">
                <anchor moveWithCells="1" sizeWithCells="1">
                  <from>
                    <xdr:col>10</xdr:col>
                    <xdr:colOff>514350</xdr:colOff>
                    <xdr:row>6</xdr:row>
                    <xdr:rowOff>142875</xdr:rowOff>
                  </from>
                  <to>
                    <xdr:col>16</xdr:col>
                    <xdr:colOff>314325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Button 11">
              <controlPr defaultSize="0" print="0" autoFill="0" autoPict="0" macro="[0]!AggiornaParametri">
                <anchor moveWithCells="1" sizeWithCells="1">
                  <from>
                    <xdr:col>10</xdr:col>
                    <xdr:colOff>514350</xdr:colOff>
                    <xdr:row>2</xdr:row>
                    <xdr:rowOff>266700</xdr:rowOff>
                  </from>
                  <to>
                    <xdr:col>16</xdr:col>
                    <xdr:colOff>314325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6" name="Button 12">
              <controlPr defaultSize="0" print="0" autoFill="0" autoPict="0" macro="[0]!RiempiConNumeriCasuali">
                <anchor moveWithCells="1" sizeWithCells="1">
                  <from>
                    <xdr:col>10</xdr:col>
                    <xdr:colOff>514350</xdr:colOff>
                    <xdr:row>6</xdr:row>
                    <xdr:rowOff>142875</xdr:rowOff>
                  </from>
                  <to>
                    <xdr:col>16</xdr:col>
                    <xdr:colOff>314325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3</vt:i4>
      </vt:variant>
      <vt:variant>
        <vt:lpstr>Grafici</vt:lpstr>
      </vt:variant>
      <vt:variant>
        <vt:i4>1</vt:i4>
      </vt:variant>
      <vt:variant>
        <vt:lpstr>Intervalli denominati</vt:lpstr>
      </vt:variant>
      <vt:variant>
        <vt:i4>67</vt:i4>
      </vt:variant>
    </vt:vector>
  </HeadingPairs>
  <TitlesOfParts>
    <vt:vector size="71" baseType="lpstr">
      <vt:lpstr>DATI</vt:lpstr>
      <vt:lpstr>PARAMETRI</vt:lpstr>
      <vt:lpstr>Grafo</vt:lpstr>
      <vt:lpstr>Grafico1</vt:lpstr>
      <vt:lpstr>a1_1</vt:lpstr>
      <vt:lpstr>a1_2</vt:lpstr>
      <vt:lpstr>a1_3</vt:lpstr>
      <vt:lpstr>a2_1</vt:lpstr>
      <vt:lpstr>a2_2</vt:lpstr>
      <vt:lpstr>beta1_1</vt:lpstr>
      <vt:lpstr>beta1_2</vt:lpstr>
      <vt:lpstr>beta1_3</vt:lpstr>
      <vt:lpstr>beta2_1</vt:lpstr>
      <vt:lpstr>beta2_2</vt:lpstr>
      <vt:lpstr>beta3</vt:lpstr>
      <vt:lpstr>dA1_1</vt:lpstr>
      <vt:lpstr>dA1_2</vt:lpstr>
      <vt:lpstr>dA1_3</vt:lpstr>
      <vt:lpstr>dA2_1</vt:lpstr>
      <vt:lpstr>dA2_2</vt:lpstr>
      <vt:lpstr>deltabeta1_1</vt:lpstr>
      <vt:lpstr>deltabeta1_2</vt:lpstr>
      <vt:lpstr>deltabeta1_3</vt:lpstr>
      <vt:lpstr>deltabeta2_1</vt:lpstr>
      <vt:lpstr>deltabeta2_2</vt:lpstr>
      <vt:lpstr>deltabeta3</vt:lpstr>
      <vt:lpstr>deltaw11_1</vt:lpstr>
      <vt:lpstr>deltaw11_2</vt:lpstr>
      <vt:lpstr>deltaw11_3</vt:lpstr>
      <vt:lpstr>deltaw12_1</vt:lpstr>
      <vt:lpstr>deltaw12_2</vt:lpstr>
      <vt:lpstr>deltaw12_3</vt:lpstr>
      <vt:lpstr>deltaw21_1</vt:lpstr>
      <vt:lpstr>deltaw21_2</vt:lpstr>
      <vt:lpstr>deltaw22_1</vt:lpstr>
      <vt:lpstr>deltaw22_2</vt:lpstr>
      <vt:lpstr>deltaw23_1</vt:lpstr>
      <vt:lpstr>deltaw23_2</vt:lpstr>
      <vt:lpstr>deltaw31_1</vt:lpstr>
      <vt:lpstr>deltaw32_1</vt:lpstr>
      <vt:lpstr>dZ1_1</vt:lpstr>
      <vt:lpstr>dZ1_2</vt:lpstr>
      <vt:lpstr>dZ1_3</vt:lpstr>
      <vt:lpstr>dZ2_1</vt:lpstr>
      <vt:lpstr>dZ2_2</vt:lpstr>
      <vt:lpstr>dZL</vt:lpstr>
      <vt:lpstr>w11_1</vt:lpstr>
      <vt:lpstr>w11_2</vt:lpstr>
      <vt:lpstr>w11_3</vt:lpstr>
      <vt:lpstr>w12_1</vt:lpstr>
      <vt:lpstr>w12_2</vt:lpstr>
      <vt:lpstr>w12_3</vt:lpstr>
      <vt:lpstr>w21_1</vt:lpstr>
      <vt:lpstr>w21_2</vt:lpstr>
      <vt:lpstr>w22_1</vt:lpstr>
      <vt:lpstr>w22_2</vt:lpstr>
      <vt:lpstr>w23_1</vt:lpstr>
      <vt:lpstr>w23_2</vt:lpstr>
      <vt:lpstr>w31_1</vt:lpstr>
      <vt:lpstr>w32_1</vt:lpstr>
      <vt:lpstr>X_1</vt:lpstr>
      <vt:lpstr>X_2</vt:lpstr>
      <vt:lpstr>Y</vt:lpstr>
      <vt:lpstr>Y_pred</vt:lpstr>
      <vt:lpstr>y_pred_arr</vt:lpstr>
      <vt:lpstr>z_3</vt:lpstr>
      <vt:lpstr>z1_1</vt:lpstr>
      <vt:lpstr>z1_2</vt:lpstr>
      <vt:lpstr>z1_3</vt:lpstr>
      <vt:lpstr>Z2_1</vt:lpstr>
      <vt:lpstr>Z2_2</vt:lpstr>
    </vt:vector>
  </TitlesOfParts>
  <Company>A2A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Proietti Antonio</dc:creator>
  <cp:lastModifiedBy>Proietti Antonio</cp:lastModifiedBy>
  <dcterms:created xsi:type="dcterms:W3CDTF">2024-03-18T08:43:06Z</dcterms:created>
  <dcterms:modified xsi:type="dcterms:W3CDTF">2024-07-30T16:15:30Z</dcterms:modified>
</cp:coreProperties>
</file>