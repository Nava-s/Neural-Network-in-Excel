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a2agroup-my.sharepoint.com/personal/antonio_proietti_a2a_it/Documents/Desktop/backup lavoro/File Antonio/ML Projects/"/>
    </mc:Choice>
  </mc:AlternateContent>
  <xr:revisionPtr revIDLastSave="585954" documentId="8_{894AC09B-A734-4C2C-9B0B-CBB5185691BD}" xr6:coauthVersionLast="47" xr6:coauthVersionMax="47" xr10:uidLastSave="{78B78A17-55A1-4676-A924-B1FC8B1D2F3B}"/>
  <bookViews>
    <workbookView xWindow="-120" yWindow="-120" windowWidth="29040" windowHeight="15840" activeTab="3" xr2:uid="{F943EE72-912C-4F2B-B9AD-FA9735BAAAC3}"/>
  </bookViews>
  <sheets>
    <sheet name="Grafico1" sheetId="5" r:id="rId1"/>
    <sheet name="DATI" sheetId="4" r:id="rId2"/>
    <sheet name="PARAMETRI" sheetId="6" r:id="rId3"/>
    <sheet name="Grafo" sheetId="1" r:id="rId4"/>
  </sheets>
  <definedNames>
    <definedName name="a1_1">PARAMETRI!$M$2:$M$60</definedName>
    <definedName name="a1_2">PARAMETRI!$N$2:$N$60</definedName>
    <definedName name="a1_3">PARAMETRI!$O$2:$O$60</definedName>
    <definedName name="a2_1">PARAMETRI!$Z$2:$Z$60</definedName>
    <definedName name="a2_2">PARAMETRI!$AA$2:$AA$60</definedName>
    <definedName name="beta1_1">PARAMETRI!$A$2</definedName>
    <definedName name="beta1_2">PARAMETRI!$B$2</definedName>
    <definedName name="beta1_3">PARAMETRI!$C$2</definedName>
    <definedName name="beta2_1">PARAMETRI!$P$2</definedName>
    <definedName name="beta2_2">PARAMETRI!$Q$2</definedName>
    <definedName name="beta3">PARAMETRI!$AB$2</definedName>
    <definedName name="dA1_1">PARAMETRI!$AM$2:$AM$60</definedName>
    <definedName name="dA1_2">PARAMETRI!$AN$2:$AN$60</definedName>
    <definedName name="dA1_3">PARAMETRI!$AO$2:$AO$60</definedName>
    <definedName name="dA2_1">PARAMETRI!$AI$2:$AI$60</definedName>
    <definedName name="dA2_2">PARAMETRI!$AJ$2:$AJ$60</definedName>
    <definedName name="deltabeta1_1">PARAMETRI!$AS$2</definedName>
    <definedName name="deltabeta1_2">PARAMETRI!$AT$2</definedName>
    <definedName name="deltabeta1_3">PARAMETRI!$AU$2</definedName>
    <definedName name="deltabeta2_1">PARAMETRI!$BB$2</definedName>
    <definedName name="deltabeta2_2">PARAMETRI!$BC$2</definedName>
    <definedName name="deltabeta3">PARAMETRI!$BJ$2</definedName>
    <definedName name="deltaw11_1">PARAMETRI!$AV$2</definedName>
    <definedName name="deltaw11_2">PARAMETRI!$AW$2</definedName>
    <definedName name="deltaw11_3">PARAMETRI!$AX$2</definedName>
    <definedName name="deltaw12_1">PARAMETRI!$AY$2</definedName>
    <definedName name="deltaw12_2">PARAMETRI!$AZ$2</definedName>
    <definedName name="deltaw12_3">PARAMETRI!$BA$2</definedName>
    <definedName name="deltaw21_1">PARAMETRI!$BD$2</definedName>
    <definedName name="deltaw21_2">PARAMETRI!$BE$2</definedName>
    <definedName name="deltaw22_1">PARAMETRI!$BF$2</definedName>
    <definedName name="deltaw22_2">PARAMETRI!$BG$2</definedName>
    <definedName name="deltaw23_1">PARAMETRI!$BH$2</definedName>
    <definedName name="deltaw23_2">PARAMETRI!$BI$2</definedName>
    <definedName name="deltaw31_1">PARAMETRI!$BK$2</definedName>
    <definedName name="deltaw32_1">PARAMETRI!$BL$2</definedName>
    <definedName name="dZ1_1">PARAMETRI!$AP$2:$AP$60</definedName>
    <definedName name="dZ1_2">PARAMETRI!$AQ$2:$AQ$60</definedName>
    <definedName name="dZ1_3">PARAMETRI!$AR$2:$AR$60</definedName>
    <definedName name="dZ2_1">PARAMETRI!$AK$2:$AK$60</definedName>
    <definedName name="dZ2_2">PARAMETRI!$AL$2:$AL$60</definedName>
    <definedName name="dZL">PARAMETRI!$AH$2:$AH$60</definedName>
    <definedName name="w11_1">PARAMETRI!$D$2</definedName>
    <definedName name="w11_2">PARAMETRI!$E$2</definedName>
    <definedName name="w11_3">PARAMETRI!$F$2</definedName>
    <definedName name="w12_1">PARAMETRI!$G$2</definedName>
    <definedName name="w12_2">PARAMETRI!$H$2</definedName>
    <definedName name="w12_3">PARAMETRI!$I$2</definedName>
    <definedName name="w21_1">PARAMETRI!$R$2</definedName>
    <definedName name="w21_2">PARAMETRI!$S$2</definedName>
    <definedName name="w22_1">PARAMETRI!$T$2</definedName>
    <definedName name="w22_2">PARAMETRI!$U$2</definedName>
    <definedName name="w23_1">PARAMETRI!$V$2</definedName>
    <definedName name="w23_2">PARAMETRI!$W$2</definedName>
    <definedName name="w31_1">PARAMETRI!$AC$2</definedName>
    <definedName name="w32_1">PARAMETRI!$AD$2</definedName>
    <definedName name="X_1">DATI!$A$2:$A$60</definedName>
    <definedName name="X_2">DATI!$B$2:$B$60</definedName>
    <definedName name="Y">DATI!$C$2:$C$60</definedName>
    <definedName name="Y_pred">PARAMETRI!$AF$2:$AF$60</definedName>
    <definedName name="y_pred_arr">PARAMETRI!$AG$2:$AG$60</definedName>
    <definedName name="z_3">PARAMETRI!$AE$2:$AE$60</definedName>
    <definedName name="z1_1">PARAMETRI!$J$2:$J$60</definedName>
    <definedName name="z1_2">PARAMETRI!$K$2:$K$60</definedName>
    <definedName name="z1_3">PARAMETRI!$L$2:$L$60</definedName>
    <definedName name="Z2_1">PARAMETRI!$X$2:$X$60</definedName>
    <definedName name="Z2_2">PARAMETRI!$Y$2:$Y$60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6" l="1" a="1"/>
  <c r="J2" i="6" s="1"/>
  <c r="M2" i="6" s="1" a="1"/>
  <c r="M2" i="6" s="1"/>
  <c r="L2" i="6" a="1"/>
  <c r="L2" i="6" s="1"/>
  <c r="O2" i="6" s="1" a="1"/>
  <c r="O2" i="6" s="1"/>
  <c r="BH1" i="6" l="1"/>
  <c r="BI1" i="6"/>
  <c r="BJ1" i="6"/>
  <c r="BK1" i="6"/>
  <c r="BL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AS1" i="6"/>
  <c r="K2" i="6" l="1" a="1"/>
  <c r="K2" i="6" s="1"/>
  <c r="N2" i="6" s="1" a="1"/>
  <c r="N2" i="6" s="1"/>
  <c r="Y2" i="6" l="1" a="1"/>
  <c r="Y2" i="6" s="1"/>
  <c r="AA2" i="6" s="1" a="1"/>
  <c r="AA2" i="6" s="1"/>
  <c r="X2" i="6" a="1"/>
  <c r="X2" i="6" s="1"/>
  <c r="Z2" i="6" s="1" a="1"/>
  <c r="Z2" i="6" s="1"/>
  <c r="AE2" i="6" l="1" a="1"/>
  <c r="AE2" i="6" s="1"/>
  <c r="AF2" i="6" l="1" a="1"/>
  <c r="AF2" i="6" s="1"/>
  <c r="AH2" i="6" s="1" a="1"/>
  <c r="AH2" i="6" s="1"/>
  <c r="T6" i="1" l="1" a="1"/>
  <c r="T6" i="1" s="1"/>
  <c r="AG2" i="6" a="1"/>
  <c r="AG2" i="6" s="1"/>
  <c r="T5" i="1" s="1"/>
  <c r="BJ2" i="6" l="1"/>
  <c r="AK2" i="6" a="1"/>
  <c r="AK2" i="6" s="1"/>
  <c r="BF2" i="6" s="1"/>
  <c r="BK2" i="6"/>
  <c r="AI2" i="6" a="1"/>
  <c r="AI2" i="6" s="1"/>
  <c r="AJ2" i="6" a="1"/>
  <c r="AJ2" i="6" s="1"/>
  <c r="AL2" i="6" a="1"/>
  <c r="AL2" i="6" s="1"/>
  <c r="BC2" i="6" s="1"/>
  <c r="BL2" i="6"/>
  <c r="AO2" i="6" l="1" a="1"/>
  <c r="AO2" i="6" s="1"/>
  <c r="BH2" i="6"/>
  <c r="BI2" i="6"/>
  <c r="AN2" i="6" a="1"/>
  <c r="AN2" i="6" s="1"/>
  <c r="BG2" i="6"/>
  <c r="BE2" i="6"/>
  <c r="AR2" i="6" a="1"/>
  <c r="AR2" i="6" s="1"/>
  <c r="AX2" i="6" s="1"/>
  <c r="AQ2" i="6" a="1"/>
  <c r="AQ2" i="6" s="1"/>
  <c r="AZ2" i="6" s="1"/>
  <c r="AP2" i="6" a="1"/>
  <c r="AP2" i="6" s="1"/>
  <c r="AV2" i="6" s="1"/>
  <c r="BD2" i="6"/>
  <c r="AM2" i="6" a="1"/>
  <c r="AM2" i="6" s="1"/>
  <c r="BB2" i="6"/>
  <c r="BA2" i="6" l="1"/>
  <c r="AW2" i="6"/>
  <c r="AU2" i="6"/>
  <c r="AS2" i="6"/>
  <c r="AT2" i="6"/>
  <c r="AY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<sst xmlns="http://schemas.openxmlformats.org/spreadsheetml/2006/main" count="67" uniqueCount="60">
  <si>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X1</t>
  </si>
  <si>
    <t>X2</t>
  </si>
  <si>
    <t>a1_1</t>
  </si>
  <si>
    <t>a1_2</t>
  </si>
  <si>
    <t>a1_3</t>
  </si>
  <si>
    <t>a2_1</t>
  </si>
  <si>
    <t>a2_2</t>
  </si>
  <si>
    <t>y^</t>
  </si>
  <si>
    <t>Y</t>
  </si>
  <si>
    <t>backpropagation</t>
  </si>
  <si>
    <t>Output</t>
  </si>
  <si>
    <t>dZL</t>
  </si>
  <si>
    <t>dZ2_1</t>
  </si>
  <si>
    <t>dZ2_2</t>
  </si>
  <si>
    <t>dZ1_1</t>
  </si>
  <si>
    <t>dZ1_2</t>
  </si>
  <si>
    <t>dZ1_3</t>
  </si>
  <si>
    <t>beta1_1</t>
  </si>
  <si>
    <t>beta1_2</t>
  </si>
  <si>
    <t>beta1_3</t>
  </si>
  <si>
    <t>w11_1</t>
  </si>
  <si>
    <t>w11_2</t>
  </si>
  <si>
    <t>w11_3</t>
  </si>
  <si>
    <t>w12_1</t>
  </si>
  <si>
    <t>w12_2</t>
  </si>
  <si>
    <t>w12_3</t>
  </si>
  <si>
    <t>z1_1</t>
  </si>
  <si>
    <t>z1_2</t>
  </si>
  <si>
    <t>z1_3</t>
  </si>
  <si>
    <t>beta2_1</t>
  </si>
  <si>
    <t>beta2_2</t>
  </si>
  <si>
    <t>w21_1</t>
  </si>
  <si>
    <t>w21_2</t>
  </si>
  <si>
    <t>w22_1</t>
  </si>
  <si>
    <t>w22_2</t>
  </si>
  <si>
    <t>w23_1</t>
  </si>
  <si>
    <t>w23_2</t>
  </si>
  <si>
    <t>beta3</t>
  </si>
  <si>
    <t>w31_1</t>
  </si>
  <si>
    <t>Z2_1</t>
  </si>
  <si>
    <t>Z2_2</t>
  </si>
  <si>
    <t>Y^</t>
  </si>
  <si>
    <t>feedforward</t>
  </si>
  <si>
    <t>Accuracy</t>
  </si>
  <si>
    <t>Y^arr</t>
  </si>
  <si>
    <t>LOSS</t>
  </si>
  <si>
    <t>dZL = (Y - Y^) Y^ (1-Y) Xi</t>
  </si>
  <si>
    <t>dZ2_1 = dZL * a2_1*W31_1</t>
  </si>
  <si>
    <t>dZ2_1 = dZL * a2_2*W32_1</t>
  </si>
  <si>
    <t>dZ1_1 = dZ2_1 * a1_1  * w21_1 + dZ2_2*a1_1*w21_2</t>
  </si>
  <si>
    <t>dZ1_2 = dZ2_1 * a1_1  * w22_1 + dZ2_2*a1_1*w22_2</t>
  </si>
  <si>
    <t>dZ1_3 = dZ2_1 * a1_1  * w23_1 + dZ2_2*a1_1*w23_2</t>
  </si>
  <si>
    <t>w32_1</t>
  </si>
  <si>
    <t>dA2</t>
  </si>
  <si>
    <t>dZ2</t>
  </si>
  <si>
    <t>dZ1</t>
  </si>
  <si>
    <t>dA1</t>
  </si>
  <si>
    <t>dZ3</t>
  </si>
  <si>
    <t>N.EPOCH</t>
  </si>
  <si>
    <t>z3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</si>
</sst>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"/>
    <numFmt numFmtId="166" formatCode="0.0000000"/>
    <numFmt numFmtId="167" formatCode="0.000000000000000000000E+00"/>
    <numFmt numFmtId="168" formatCode="0.00000000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2" xfId="0" applyBorder="1"/>
    <xf numFmtId="0" fontId="1" fillId="0" borderId="0" xfId="0" applyFont="1" applyAlignment="1">
      <alignment horizontal="center"/>
    </xf>
    <xf numFmtId="0" fontId="0" fillId="2" borderId="0" xfId="0" applyFill="1"/>
    <xf numFmtId="164" fontId="0" fillId="3" borderId="0" xfId="0" applyNumberFormat="1" applyFill="1"/>
    <xf numFmtId="164" fontId="0" fillId="4" borderId="0" xfId="0" applyNumberFormat="1" applyFill="1"/>
    <xf numFmtId="0" fontId="3" fillId="2" borderId="0" xfId="0" applyFont="1" applyFill="1"/>
    <xf numFmtId="0" fontId="3" fillId="2" borderId="5" xfId="0" applyFont="1" applyFill="1" applyBorder="1"/>
    <xf numFmtId="0" fontId="0" fillId="0" borderId="5" xfId="0" applyBorder="1"/>
    <xf numFmtId="164" fontId="0" fillId="3" borderId="5" xfId="0" applyNumberFormat="1" applyFill="1" applyBorder="1"/>
    <xf numFmtId="164" fontId="0" fillId="4" borderId="5" xfId="0" applyNumberFormat="1" applyFill="1" applyBorder="1"/>
    <xf numFmtId="0" fontId="0" fillId="0" borderId="7" xfId="0" applyBorder="1"/>
    <xf numFmtId="0" fontId="0" fillId="0" borderId="6" xfId="0" applyBorder="1"/>
    <xf numFmtId="164" fontId="0" fillId="5" borderId="8" xfId="0" applyNumberFormat="1" applyFill="1" applyBorder="1"/>
    <xf numFmtId="0" fontId="0" fillId="0" borderId="8" xfId="0" applyBorder="1"/>
    <xf numFmtId="0" fontId="0" fillId="0" borderId="9" xfId="0" applyBorder="1"/>
    <xf numFmtId="164" fontId="0" fillId="6" borderId="0" xfId="0" applyNumberFormat="1" applyFill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4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0" borderId="3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0" fillId="6" borderId="10" xfId="0" applyNumberFormat="1" applyFill="1" applyBorder="1" applyAlignment="1">
      <alignment horizontal="center"/>
    </xf>
    <xf numFmtId="166" fontId="0" fillId="0" borderId="5" xfId="0" applyNumberFormat="1" applyBorder="1"/>
    <xf numFmtId="166" fontId="0" fillId="0" borderId="0" xfId="0" applyNumberFormat="1"/>
    <xf numFmtId="166" fontId="0" fillId="0" borderId="7" xfId="0" applyNumberFormat="1" applyBorder="1"/>
    <xf numFmtId="166" fontId="0" fillId="0" borderId="2" xfId="0" applyNumberFormat="1" applyBorder="1"/>
    <xf numFmtId="165" fontId="0" fillId="0" borderId="4" xfId="0" applyNumberFormat="1" applyBorder="1" applyAlignment="1">
      <alignment horizontal="center" vertical="center"/>
    </xf>
    <xf numFmtId="167" fontId="0" fillId="0" borderId="0" xfId="0" applyNumberFormat="1"/>
    <xf numFmtId="168" fontId="0" fillId="0" borderId="4" xfId="0" applyNumberFormat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</cellXfs>
  <cellStyles count="1">
    <cellStyle name="Normale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DATI!$B$1</c:f>
              <c:strCache>
                <c:ptCount val="1"/>
                <c:pt idx="0">
                  <c:v>X2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0BDD0A-B455-4602-9066-265C3DCDF825}" type="CELLRANGE">
                      <a:rPr lang="en-US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FF8-4B96-A43D-82EEA73834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7A8334-47AF-460F-8393-771F21F9A1B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F8-4B96-A43D-82EEA73834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46C522-45A4-4B92-8A0A-5769F93A71C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F8-4B96-A43D-82EEA73834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56436C-F358-4B00-A432-EC730A656AF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F8-4B96-A43D-82EEA73834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27EBAF-3F0A-4E60-B007-04A274648E5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F8-4B96-A43D-82EEA73834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350632-6A1B-4B44-9EA3-E88585A6BC3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F8-4B96-A43D-82EEA73834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5CA3D7-13E6-494D-A797-99A23A72B7D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F8-4B96-A43D-82EEA73834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B61ACC-0F0D-456D-82A8-BACC9851F32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F8-4B96-A43D-82EEA73834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EBFE62-A811-47B4-B78B-9C0FA19CD56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F8-4B96-A43D-82EEA73834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650B99-5181-4784-8EE3-5F8906813FA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F8-4B96-A43D-82EEA73834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07C0C2-44E3-42AA-B775-B1CB876CB42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F8-4B96-A43D-82EEA73834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B2FE9A-0383-49E7-AEBA-19EE7B40305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F8-4B96-A43D-82EEA73834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D3BEB7-93FF-4872-A66D-E00B9074872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F8-4B96-A43D-82EEA73834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52F624-D0BA-4DDF-8CB5-17D676E4727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F8-4B96-A43D-82EEA73834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A508DA-7569-4786-9984-468E98C4BE1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F8-4B96-A43D-82EEA73834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8DC053-E475-4280-9EC9-41A95B6E150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F8-4B96-A43D-82EEA73834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4FF958-78A8-48E7-9DFC-49D8693B303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F8-4B96-A43D-82EEA73834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AED966-03C9-4E39-80AE-817D34542C2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F8-4B96-A43D-82EEA73834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B8E260-8FA5-49E0-9FDF-338672C88AE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F8-4B96-A43D-82EEA73834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A9917A-12EC-4BA7-915F-2228BACC2B8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F8-4B96-A43D-82EEA73834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1ADC98-654D-4260-8C81-2F3F9DBD945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F8-4B96-A43D-82EEA73834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E6342B-D4E3-4181-B2A5-EE859D518FA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F8-4B96-A43D-82EEA73834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50312A-E49C-48D7-9F9E-68DF0718719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F8-4B96-A43D-82EEA73834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F1AD07-6DF9-41D7-A10B-FC53F3F2966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F8-4B96-A43D-82EEA73834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0C96A6-5B6A-4E0F-BFD2-2C293D59FE8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F8-4B96-A43D-82EEA73834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DEF904-7A40-45DB-89F5-0EADF99C3EC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F8-4B96-A43D-82EEA73834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D20F51-8728-473D-A388-BAC4D79AA64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F8-4B96-A43D-82EEA73834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8B511D-9C10-4C42-8E0D-C31CF6A4A65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F8-4B96-A43D-82EEA73834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1FCCCC-C713-432F-A5ED-31403C08171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F8-4B96-A43D-82EEA73834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36F9EC-00CC-482D-B3A7-B528D6F3504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F8-4B96-A43D-82EEA73834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E6CCCE-3B73-472F-AD67-6DE4098E3B8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F8-4B96-A43D-82EEA73834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8915A8-CCDB-4EB9-AB2A-E44D9D394EB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F8-4B96-A43D-82EEA73834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6DFCF9-B062-4693-A25D-FBBA13D9A48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F8-4B96-A43D-82EEA73834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DDA02F-4847-4426-89E8-5D97AC5767A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F8-4B96-A43D-82EEA73834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6B3044-2D52-455A-85DA-7BBCF3D7C7A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F8-4B96-A43D-82EEA73834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6670E2-A2B2-4D84-8851-3FBF4AC51FF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F8-4B96-A43D-82EEA73834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1EC616-9887-498F-98A1-2BF3D9BDD68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F8-4B96-A43D-82EEA73834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A5C938-377F-4C10-BB0B-94B97F1DF59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F8-4B96-A43D-82EEA73834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98AEBF-AE70-4462-84F9-588415F6E8B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F8-4B96-A43D-82EEA73834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102E86-300C-4B0A-B22B-C74CDD445AB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F8-4B96-A43D-82EEA73834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DCF03D-71F7-4611-82D5-FE948E674AF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F8-4B96-A43D-82EEA73834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7833CD-AC7E-4117-8392-C7E87922D77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F8-4B96-A43D-82EEA73834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76F395-102D-4524-931B-D1FAFFCC6D7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F8-4B96-A43D-82EEA73834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1D963E-994F-458F-9BB3-F558D24005D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F8-4B96-A43D-82EEA73834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4CE8D0-78FE-47C9-AEA3-2AE2239F778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F8-4B96-A43D-82EEA73834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0DB9C7-ED77-4122-A6C9-DE28DC92346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F8-4B96-A43D-82EEA73834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446525-451D-41A8-8584-C16AD47D509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F8-4B96-A43D-82EEA73834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34BB60-8C95-4A65-84C9-9D37FE83491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F8-4B96-A43D-82EEA73834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513C1B-8BF5-45C1-966B-35BD76BC6D0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F8-4B96-A43D-82EEA73834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F646D3-E05B-4AB8-8D4B-A8801B6BE82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F8-4B96-A43D-82EEA73834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12FE7E-668F-41ED-8724-F8C1E93C3ED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F8-4B96-A43D-82EEA73834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73CC25-141C-4C5E-BC13-D1447E9A011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F8-4B96-A43D-82EEA73834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E4824E-D861-4681-98FA-51756C9472C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F8-4B96-A43D-82EEA73834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12DFB1-88BD-4D8F-A949-7344657CC4E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F8-4B96-A43D-82EEA73834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D86D43-C2FD-4192-ABB9-825A926EC7C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F8-4B96-A43D-82EEA73834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2D62CF-03E0-4411-8CC2-198F50CC348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F8-4B96-A43D-82EEA73834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04CFA6-6AB3-4B90-B7E0-C41955735BF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F8-4B96-A43D-82EEA73834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3979E1-C2ED-4361-9773-B942309ADD7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F8-4B96-A43D-82EEA73834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98BBD7-5199-4FCC-B259-5D452C96B9A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F8-4B96-A43D-82EEA73834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DATI!$A$2:$A$60</c:f>
              <c:numCache>
                <c:formatCode>General</c:formatCode>
                <c:ptCount val="59"/>
                <c:pt idx="0">
                  <c:v>25</c:v>
                </c:pt>
                <c:pt idx="1">
                  <c:v>2</c:v>
                </c:pt>
                <c:pt idx="2">
                  <c:v>8</c:v>
                </c:pt>
                <c:pt idx="3">
                  <c:v>3</c:v>
                </c:pt>
                <c:pt idx="4">
                  <c:v>17</c:v>
                </c:pt>
                <c:pt idx="5">
                  <c:v>21</c:v>
                </c:pt>
                <c:pt idx="6">
                  <c:v>0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6</c:v>
                </c:pt>
                <c:pt idx="11">
                  <c:v>2</c:v>
                </c:pt>
                <c:pt idx="12">
                  <c:v>23</c:v>
                </c:pt>
                <c:pt idx="13">
                  <c:v>25</c:v>
                </c:pt>
                <c:pt idx="14">
                  <c:v>25</c:v>
                </c:pt>
                <c:pt idx="15">
                  <c:v>23</c:v>
                </c:pt>
                <c:pt idx="16">
                  <c:v>0</c:v>
                </c:pt>
                <c:pt idx="17">
                  <c:v>13</c:v>
                </c:pt>
                <c:pt idx="18">
                  <c:v>11</c:v>
                </c:pt>
                <c:pt idx="19">
                  <c:v>20</c:v>
                </c:pt>
                <c:pt idx="20">
                  <c:v>21</c:v>
                </c:pt>
                <c:pt idx="21">
                  <c:v>2</c:v>
                </c:pt>
                <c:pt idx="22">
                  <c:v>8</c:v>
                </c:pt>
                <c:pt idx="23">
                  <c:v>11</c:v>
                </c:pt>
                <c:pt idx="24">
                  <c:v>21</c:v>
                </c:pt>
                <c:pt idx="25">
                  <c:v>20</c:v>
                </c:pt>
                <c:pt idx="26">
                  <c:v>3</c:v>
                </c:pt>
                <c:pt idx="27">
                  <c:v>24</c:v>
                </c:pt>
                <c:pt idx="28">
                  <c:v>24</c:v>
                </c:pt>
                <c:pt idx="29">
                  <c:v>44</c:v>
                </c:pt>
                <c:pt idx="30">
                  <c:v>37</c:v>
                </c:pt>
                <c:pt idx="31">
                  <c:v>33</c:v>
                </c:pt>
                <c:pt idx="32">
                  <c:v>36</c:v>
                </c:pt>
                <c:pt idx="33">
                  <c:v>46</c:v>
                </c:pt>
                <c:pt idx="34">
                  <c:v>36</c:v>
                </c:pt>
                <c:pt idx="35">
                  <c:v>48</c:v>
                </c:pt>
                <c:pt idx="36">
                  <c:v>50</c:v>
                </c:pt>
                <c:pt idx="37">
                  <c:v>57</c:v>
                </c:pt>
                <c:pt idx="38">
                  <c:v>31</c:v>
                </c:pt>
                <c:pt idx="39">
                  <c:v>31</c:v>
                </c:pt>
                <c:pt idx="40">
                  <c:v>57</c:v>
                </c:pt>
                <c:pt idx="41">
                  <c:v>56</c:v>
                </c:pt>
                <c:pt idx="42">
                  <c:v>51</c:v>
                </c:pt>
                <c:pt idx="43">
                  <c:v>30</c:v>
                </c:pt>
                <c:pt idx="44">
                  <c:v>33</c:v>
                </c:pt>
                <c:pt idx="45">
                  <c:v>43</c:v>
                </c:pt>
                <c:pt idx="46">
                  <c:v>49</c:v>
                </c:pt>
                <c:pt idx="47">
                  <c:v>40</c:v>
                </c:pt>
                <c:pt idx="48">
                  <c:v>56</c:v>
                </c:pt>
                <c:pt idx="49">
                  <c:v>40</c:v>
                </c:pt>
                <c:pt idx="50">
                  <c:v>41</c:v>
                </c:pt>
                <c:pt idx="51">
                  <c:v>47</c:v>
                </c:pt>
                <c:pt idx="52">
                  <c:v>46</c:v>
                </c:pt>
                <c:pt idx="53">
                  <c:v>38</c:v>
                </c:pt>
                <c:pt idx="54">
                  <c:v>60</c:v>
                </c:pt>
                <c:pt idx="55">
                  <c:v>53</c:v>
                </c:pt>
                <c:pt idx="56">
                  <c:v>36</c:v>
                </c:pt>
                <c:pt idx="57">
                  <c:v>47</c:v>
                </c:pt>
                <c:pt idx="58">
                  <c:v>40</c:v>
                </c:pt>
              </c:numCache>
            </c:numRef>
          </c:xVal>
          <c:yVal>
            <c:numRef>
              <c:f>DATI!$B$2:$B$60</c:f>
              <c:numCache>
                <c:formatCode>General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22</c:v>
                </c:pt>
                <c:pt idx="3">
                  <c:v>19</c:v>
                </c:pt>
                <c:pt idx="4">
                  <c:v>22</c:v>
                </c:pt>
                <c:pt idx="5">
                  <c:v>28</c:v>
                </c:pt>
                <c:pt idx="6">
                  <c:v>28</c:v>
                </c:pt>
                <c:pt idx="7">
                  <c:v>0</c:v>
                </c:pt>
                <c:pt idx="8">
                  <c:v>19</c:v>
                </c:pt>
                <c:pt idx="9">
                  <c:v>5</c:v>
                </c:pt>
                <c:pt idx="10">
                  <c:v>29</c:v>
                </c:pt>
                <c:pt idx="11">
                  <c:v>5</c:v>
                </c:pt>
                <c:pt idx="12">
                  <c:v>16</c:v>
                </c:pt>
                <c:pt idx="13">
                  <c:v>2</c:v>
                </c:pt>
                <c:pt idx="14">
                  <c:v>17</c:v>
                </c:pt>
                <c:pt idx="15">
                  <c:v>9</c:v>
                </c:pt>
                <c:pt idx="16">
                  <c:v>25</c:v>
                </c:pt>
                <c:pt idx="17">
                  <c:v>24</c:v>
                </c:pt>
                <c:pt idx="18">
                  <c:v>24</c:v>
                </c:pt>
                <c:pt idx="19">
                  <c:v>18</c:v>
                </c:pt>
                <c:pt idx="20">
                  <c:v>4</c:v>
                </c:pt>
                <c:pt idx="21">
                  <c:v>3</c:v>
                </c:pt>
                <c:pt idx="22">
                  <c:v>24</c:v>
                </c:pt>
                <c:pt idx="23">
                  <c:v>9</c:v>
                </c:pt>
                <c:pt idx="24">
                  <c:v>30</c:v>
                </c:pt>
                <c:pt idx="25">
                  <c:v>1</c:v>
                </c:pt>
                <c:pt idx="26">
                  <c:v>19</c:v>
                </c:pt>
                <c:pt idx="27">
                  <c:v>5</c:v>
                </c:pt>
                <c:pt idx="28">
                  <c:v>2</c:v>
                </c:pt>
                <c:pt idx="29">
                  <c:v>44</c:v>
                </c:pt>
                <c:pt idx="30">
                  <c:v>43</c:v>
                </c:pt>
                <c:pt idx="31">
                  <c:v>41</c:v>
                </c:pt>
                <c:pt idx="32">
                  <c:v>50</c:v>
                </c:pt>
                <c:pt idx="33">
                  <c:v>65</c:v>
                </c:pt>
                <c:pt idx="34">
                  <c:v>55</c:v>
                </c:pt>
                <c:pt idx="35">
                  <c:v>67</c:v>
                </c:pt>
                <c:pt idx="36">
                  <c:v>62</c:v>
                </c:pt>
                <c:pt idx="37">
                  <c:v>67</c:v>
                </c:pt>
                <c:pt idx="38">
                  <c:v>59</c:v>
                </c:pt>
                <c:pt idx="39">
                  <c:v>66</c:v>
                </c:pt>
                <c:pt idx="40">
                  <c:v>40</c:v>
                </c:pt>
                <c:pt idx="41">
                  <c:v>69</c:v>
                </c:pt>
                <c:pt idx="42">
                  <c:v>58</c:v>
                </c:pt>
                <c:pt idx="43">
                  <c:v>45</c:v>
                </c:pt>
                <c:pt idx="44">
                  <c:v>64</c:v>
                </c:pt>
                <c:pt idx="45">
                  <c:v>65</c:v>
                </c:pt>
                <c:pt idx="46">
                  <c:v>48</c:v>
                </c:pt>
                <c:pt idx="47">
                  <c:v>55</c:v>
                </c:pt>
                <c:pt idx="48">
                  <c:v>42</c:v>
                </c:pt>
                <c:pt idx="49">
                  <c:v>55</c:v>
                </c:pt>
                <c:pt idx="50">
                  <c:v>57</c:v>
                </c:pt>
                <c:pt idx="51">
                  <c:v>48</c:v>
                </c:pt>
                <c:pt idx="52">
                  <c:v>64</c:v>
                </c:pt>
                <c:pt idx="53">
                  <c:v>54</c:v>
                </c:pt>
                <c:pt idx="54">
                  <c:v>59</c:v>
                </c:pt>
                <c:pt idx="55">
                  <c:v>41</c:v>
                </c:pt>
                <c:pt idx="56">
                  <c:v>52</c:v>
                </c:pt>
                <c:pt idx="57">
                  <c:v>63</c:v>
                </c:pt>
                <c:pt idx="58">
                  <c:v>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DATI!$C$2:$C$60</c15:f>
                <c15:dlblRangeCache>
                  <c:ptCount val="5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1FF8-4B96-A43D-82EEA73834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6223919"/>
        <c:axId val="56239279"/>
      </c:scatterChart>
      <c:valAx>
        <c:axId val="5622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39279"/>
        <c:crosses val="autoZero"/>
        <c:crossBetween val="midCat"/>
      </c:valAx>
      <c:valAx>
        <c:axId val="5623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2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18FE1B-BED9-4B76-B602-BE5762443F2E}">
  <sheetPr codeName="Grafico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3" name="Connettore 2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4" name="Connettore 2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6" name="Connettore 2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12" name="Connettore 2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16" name="Connettore 2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23" name="Connettore 2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24" name="Connettore 2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25" name="Connettore 2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27" name="Connettore 2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29" name="Connettore 2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30" name="Connettore 2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31" name="Connettore 2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32" name="Connettore 2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34" name="CasellaDiTes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43" name="CasellaDiTest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44" name="CasellaDiTest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50" name="Connettore 2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51" name="Connettore 2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52" name="Connettore 2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53" name="Connettore 2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54" name="Connettore 2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55" name="Connettore 2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56" name="Connettore 2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57" name="Connettore 2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58" name="Connettore 2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59" name="Connettore 2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60" name="Connettore 2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61" name="Connettore 2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62" name="Connettore 2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63" name="Connettore 2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1024" name="Connettore 2 1023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1025" name="CasellaDiTesto 1024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1026" name="CasellaDiTesto 1025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1027" name="CasellaDiTesto 1026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1028" name="CasellaDiTesto 1027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1029" name="CasellaDiTesto 1028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1030" name="CasellaDiTesto 1029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1031" name="CasellaDiTesto 1030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1032" name="CasellaDiTesto 1031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1035" name="CasellaDiTesto 1034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1036" name="CasellaDiTesto 1035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1037" name="CasellaDiTesto 1036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1038" name="CasellaDiTesto 1037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1039" name="CasellaDiTesto 1038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1040" name="CasellaDiTesto 1039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2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5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CE2BA-422A-43F6-812C-C7F8E4C02974}">
  <sheetPr codeName="Foglio2"/>
  <dimension ref="A1:C60"/>
  <sheetViews>
    <sheetView zoomScale="80" zoomScaleNormal="80" workbookViewId="0">
      <selection activeCell="A2" sqref="A2:B60"/>
    </sheetView>
  </sheetViews>
  <sheetFormatPr defaultRowHeight="15" x14ac:dyDescent="0.25"/>
  <sheetData>
    <row r="1" spans="1:3" x14ac:dyDescent="0.25">
      <c r="A1" s="24" t="s">
        <v>0</v>
      </c>
      <c r="B1" s="24" t="s">
        <v>1</v>
      </c>
      <c r="C1" s="24" t="s">
        <v>8</v>
      </c>
    </row>
    <row r="2" spans="1:3" x14ac:dyDescent="0.25">
      <c r="A2">
        <v>25</v>
      </c>
      <c r="B2">
        <v>1</v>
      </c>
      <c r="C2">
        <v>0</v>
      </c>
    </row>
    <row r="3" spans="1:3" x14ac:dyDescent="0.25">
      <c r="A3">
        <v>2</v>
      </c>
      <c r="B3">
        <v>1</v>
      </c>
      <c r="C3">
        <v>0</v>
      </c>
    </row>
    <row r="4" spans="1:3" x14ac:dyDescent="0.25">
      <c r="A4">
        <v>8</v>
      </c>
      <c r="B4">
        <v>22</v>
      </c>
      <c r="C4">
        <v>0</v>
      </c>
    </row>
    <row r="5" spans="1:3" x14ac:dyDescent="0.25">
      <c r="A5">
        <v>3</v>
      </c>
      <c r="B5">
        <v>19</v>
      </c>
      <c r="C5">
        <v>0</v>
      </c>
    </row>
    <row r="6" spans="1:3" x14ac:dyDescent="0.25">
      <c r="A6">
        <v>17</v>
      </c>
      <c r="B6">
        <v>22</v>
      </c>
      <c r="C6">
        <v>0</v>
      </c>
    </row>
    <row r="7" spans="1:3" x14ac:dyDescent="0.25">
      <c r="A7">
        <v>21</v>
      </c>
      <c r="B7">
        <v>28</v>
      </c>
      <c r="C7">
        <v>0</v>
      </c>
    </row>
    <row r="8" spans="1:3" x14ac:dyDescent="0.25">
      <c r="A8">
        <v>0</v>
      </c>
      <c r="B8">
        <v>28</v>
      </c>
      <c r="C8">
        <v>0</v>
      </c>
    </row>
    <row r="9" spans="1:3" x14ac:dyDescent="0.25">
      <c r="A9">
        <v>24</v>
      </c>
      <c r="B9">
        <v>0</v>
      </c>
      <c r="C9">
        <v>0</v>
      </c>
    </row>
    <row r="10" spans="1:3" x14ac:dyDescent="0.25">
      <c r="A10">
        <v>0</v>
      </c>
      <c r="B10">
        <v>19</v>
      </c>
      <c r="C10">
        <v>0</v>
      </c>
    </row>
    <row r="11" spans="1:3" x14ac:dyDescent="0.25">
      <c r="A11">
        <v>24</v>
      </c>
      <c r="B11">
        <v>5</v>
      </c>
      <c r="C11">
        <v>0</v>
      </c>
    </row>
    <row r="12" spans="1:3" x14ac:dyDescent="0.25">
      <c r="A12">
        <v>6</v>
      </c>
      <c r="B12">
        <v>29</v>
      </c>
      <c r="C12">
        <v>0</v>
      </c>
    </row>
    <row r="13" spans="1:3" x14ac:dyDescent="0.25">
      <c r="A13">
        <v>2</v>
      </c>
      <c r="B13">
        <v>5</v>
      </c>
      <c r="C13">
        <v>0</v>
      </c>
    </row>
    <row r="14" spans="1:3" x14ac:dyDescent="0.25">
      <c r="A14">
        <v>23</v>
      </c>
      <c r="B14">
        <v>16</v>
      </c>
      <c r="C14">
        <v>0</v>
      </c>
    </row>
    <row r="15" spans="1:3" x14ac:dyDescent="0.25">
      <c r="A15">
        <v>25</v>
      </c>
      <c r="B15">
        <v>2</v>
      </c>
      <c r="C15">
        <v>0</v>
      </c>
    </row>
    <row r="16" spans="1:3" x14ac:dyDescent="0.25">
      <c r="A16">
        <v>25</v>
      </c>
      <c r="B16">
        <v>17</v>
      </c>
      <c r="C16">
        <v>0</v>
      </c>
    </row>
    <row r="17" spans="1:3" x14ac:dyDescent="0.25">
      <c r="A17">
        <v>23</v>
      </c>
      <c r="B17">
        <v>9</v>
      </c>
      <c r="C17">
        <v>0</v>
      </c>
    </row>
    <row r="18" spans="1:3" x14ac:dyDescent="0.25">
      <c r="A18">
        <v>0</v>
      </c>
      <c r="B18">
        <v>25</v>
      </c>
      <c r="C18">
        <v>0</v>
      </c>
    </row>
    <row r="19" spans="1:3" x14ac:dyDescent="0.25">
      <c r="A19">
        <v>13</v>
      </c>
      <c r="B19">
        <v>24</v>
      </c>
      <c r="C19">
        <v>0</v>
      </c>
    </row>
    <row r="20" spans="1:3" x14ac:dyDescent="0.25">
      <c r="A20">
        <v>11</v>
      </c>
      <c r="B20">
        <v>24</v>
      </c>
      <c r="C20">
        <v>0</v>
      </c>
    </row>
    <row r="21" spans="1:3" x14ac:dyDescent="0.25">
      <c r="A21">
        <v>20</v>
      </c>
      <c r="B21">
        <v>18</v>
      </c>
      <c r="C21">
        <v>0</v>
      </c>
    </row>
    <row r="22" spans="1:3" x14ac:dyDescent="0.25">
      <c r="A22">
        <v>21</v>
      </c>
      <c r="B22">
        <v>4</v>
      </c>
      <c r="C22">
        <v>0</v>
      </c>
    </row>
    <row r="23" spans="1:3" x14ac:dyDescent="0.25">
      <c r="A23">
        <v>2</v>
      </c>
      <c r="B23">
        <v>3</v>
      </c>
      <c r="C23">
        <v>0</v>
      </c>
    </row>
    <row r="24" spans="1:3" x14ac:dyDescent="0.25">
      <c r="A24">
        <v>8</v>
      </c>
      <c r="B24">
        <v>24</v>
      </c>
      <c r="C24">
        <v>0</v>
      </c>
    </row>
    <row r="25" spans="1:3" x14ac:dyDescent="0.25">
      <c r="A25">
        <v>11</v>
      </c>
      <c r="B25">
        <v>9</v>
      </c>
      <c r="C25">
        <v>0</v>
      </c>
    </row>
    <row r="26" spans="1:3" x14ac:dyDescent="0.25">
      <c r="A26">
        <v>21</v>
      </c>
      <c r="B26">
        <v>30</v>
      </c>
      <c r="C26">
        <v>0</v>
      </c>
    </row>
    <row r="27" spans="1:3" x14ac:dyDescent="0.25">
      <c r="A27">
        <v>20</v>
      </c>
      <c r="B27">
        <v>1</v>
      </c>
      <c r="C27">
        <v>0</v>
      </c>
    </row>
    <row r="28" spans="1:3" x14ac:dyDescent="0.25">
      <c r="A28">
        <v>3</v>
      </c>
      <c r="B28">
        <v>19</v>
      </c>
      <c r="C28">
        <v>0</v>
      </c>
    </row>
    <row r="29" spans="1:3" x14ac:dyDescent="0.25">
      <c r="A29">
        <v>24</v>
      </c>
      <c r="B29">
        <v>5</v>
      </c>
      <c r="C29">
        <v>0</v>
      </c>
    </row>
    <row r="30" spans="1:3" x14ac:dyDescent="0.25">
      <c r="A30">
        <v>24</v>
      </c>
      <c r="B30">
        <v>2</v>
      </c>
      <c r="C30">
        <v>0</v>
      </c>
    </row>
    <row r="31" spans="1:3" x14ac:dyDescent="0.25">
      <c r="A31">
        <v>44</v>
      </c>
      <c r="B31">
        <v>44</v>
      </c>
      <c r="C31">
        <v>1</v>
      </c>
    </row>
    <row r="32" spans="1:3" x14ac:dyDescent="0.25">
      <c r="A32">
        <v>37</v>
      </c>
      <c r="B32">
        <v>43</v>
      </c>
      <c r="C32">
        <v>1</v>
      </c>
    </row>
    <row r="33" spans="1:3" x14ac:dyDescent="0.25">
      <c r="A33">
        <v>33</v>
      </c>
      <c r="B33">
        <v>41</v>
      </c>
      <c r="C33">
        <v>1</v>
      </c>
    </row>
    <row r="34" spans="1:3" x14ac:dyDescent="0.25">
      <c r="A34">
        <v>36</v>
      </c>
      <c r="B34">
        <v>50</v>
      </c>
      <c r="C34">
        <v>1</v>
      </c>
    </row>
    <row r="35" spans="1:3" x14ac:dyDescent="0.25">
      <c r="A35">
        <v>46</v>
      </c>
      <c r="B35">
        <v>65</v>
      </c>
      <c r="C35">
        <v>1</v>
      </c>
    </row>
    <row r="36" spans="1:3" x14ac:dyDescent="0.25">
      <c r="A36">
        <v>36</v>
      </c>
      <c r="B36">
        <v>55</v>
      </c>
      <c r="C36">
        <v>1</v>
      </c>
    </row>
    <row r="37" spans="1:3" x14ac:dyDescent="0.25">
      <c r="A37">
        <v>48</v>
      </c>
      <c r="B37">
        <v>67</v>
      </c>
      <c r="C37">
        <v>1</v>
      </c>
    </row>
    <row r="38" spans="1:3" x14ac:dyDescent="0.25">
      <c r="A38">
        <v>50</v>
      </c>
      <c r="B38">
        <v>62</v>
      </c>
      <c r="C38">
        <v>1</v>
      </c>
    </row>
    <row r="39" spans="1:3" x14ac:dyDescent="0.25">
      <c r="A39">
        <v>57</v>
      </c>
      <c r="B39">
        <v>67</v>
      </c>
      <c r="C39">
        <v>1</v>
      </c>
    </row>
    <row r="40" spans="1:3" x14ac:dyDescent="0.25">
      <c r="A40">
        <v>31</v>
      </c>
      <c r="B40">
        <v>59</v>
      </c>
      <c r="C40">
        <v>1</v>
      </c>
    </row>
    <row r="41" spans="1:3" x14ac:dyDescent="0.25">
      <c r="A41">
        <v>31</v>
      </c>
      <c r="B41">
        <v>66</v>
      </c>
      <c r="C41">
        <v>1</v>
      </c>
    </row>
    <row r="42" spans="1:3" x14ac:dyDescent="0.25">
      <c r="A42">
        <v>57</v>
      </c>
      <c r="B42">
        <v>40</v>
      </c>
      <c r="C42">
        <v>1</v>
      </c>
    </row>
    <row r="43" spans="1:3" x14ac:dyDescent="0.25">
      <c r="A43">
        <v>56</v>
      </c>
      <c r="B43">
        <v>69</v>
      </c>
      <c r="C43">
        <v>1</v>
      </c>
    </row>
    <row r="44" spans="1:3" x14ac:dyDescent="0.25">
      <c r="A44">
        <v>51</v>
      </c>
      <c r="B44">
        <v>58</v>
      </c>
      <c r="C44">
        <v>1</v>
      </c>
    </row>
    <row r="45" spans="1:3" x14ac:dyDescent="0.25">
      <c r="A45">
        <v>30</v>
      </c>
      <c r="B45">
        <v>45</v>
      </c>
      <c r="C45">
        <v>1</v>
      </c>
    </row>
    <row r="46" spans="1:3" x14ac:dyDescent="0.25">
      <c r="A46">
        <v>33</v>
      </c>
      <c r="B46">
        <v>64</v>
      </c>
      <c r="C46">
        <v>1</v>
      </c>
    </row>
    <row r="47" spans="1:3" x14ac:dyDescent="0.25">
      <c r="A47">
        <v>43</v>
      </c>
      <c r="B47">
        <v>65</v>
      </c>
      <c r="C47">
        <v>1</v>
      </c>
    </row>
    <row r="48" spans="1:3" x14ac:dyDescent="0.25">
      <c r="A48">
        <v>49</v>
      </c>
      <c r="B48">
        <v>48</v>
      </c>
      <c r="C48">
        <v>1</v>
      </c>
    </row>
    <row r="49" spans="1:3" x14ac:dyDescent="0.25">
      <c r="A49">
        <v>40</v>
      </c>
      <c r="B49">
        <v>55</v>
      </c>
      <c r="C49">
        <v>1</v>
      </c>
    </row>
    <row r="50" spans="1:3" x14ac:dyDescent="0.25">
      <c r="A50">
        <v>56</v>
      </c>
      <c r="B50">
        <v>42</v>
      </c>
      <c r="C50">
        <v>1</v>
      </c>
    </row>
    <row r="51" spans="1:3" x14ac:dyDescent="0.25">
      <c r="A51">
        <v>40</v>
      </c>
      <c r="B51">
        <v>55</v>
      </c>
      <c r="C51">
        <v>1</v>
      </c>
    </row>
    <row r="52" spans="1:3" x14ac:dyDescent="0.25">
      <c r="A52">
        <v>41</v>
      </c>
      <c r="B52">
        <v>57</v>
      </c>
      <c r="C52">
        <v>1</v>
      </c>
    </row>
    <row r="53" spans="1:3" x14ac:dyDescent="0.25">
      <c r="A53">
        <v>47</v>
      </c>
      <c r="B53">
        <v>48</v>
      </c>
      <c r="C53">
        <v>1</v>
      </c>
    </row>
    <row r="54" spans="1:3" x14ac:dyDescent="0.25">
      <c r="A54">
        <v>46</v>
      </c>
      <c r="B54">
        <v>64</v>
      </c>
      <c r="C54">
        <v>1</v>
      </c>
    </row>
    <row r="55" spans="1:3" x14ac:dyDescent="0.25">
      <c r="A55">
        <v>38</v>
      </c>
      <c r="B55">
        <v>54</v>
      </c>
      <c r="C55">
        <v>1</v>
      </c>
    </row>
    <row r="56" spans="1:3" x14ac:dyDescent="0.25">
      <c r="A56">
        <v>60</v>
      </c>
      <c r="B56">
        <v>59</v>
      </c>
      <c r="C56">
        <v>1</v>
      </c>
    </row>
    <row r="57" spans="1:3" x14ac:dyDescent="0.25">
      <c r="A57">
        <v>53</v>
      </c>
      <c r="B57">
        <v>41</v>
      </c>
      <c r="C57">
        <v>1</v>
      </c>
    </row>
    <row r="58" spans="1:3" x14ac:dyDescent="0.25">
      <c r="A58">
        <v>36</v>
      </c>
      <c r="B58">
        <v>52</v>
      </c>
      <c r="C58">
        <v>1</v>
      </c>
    </row>
    <row r="59" spans="1:3" x14ac:dyDescent="0.25">
      <c r="A59">
        <v>47</v>
      </c>
      <c r="B59">
        <v>63</v>
      </c>
      <c r="C59">
        <v>1</v>
      </c>
    </row>
    <row r="60" spans="1:3" x14ac:dyDescent="0.25">
      <c r="A60">
        <v>40</v>
      </c>
      <c r="B60">
        <v>55</v>
      </c>
      <c r="C6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77D6-55C1-4570-8DCE-8DEA296AB9E3}">
  <sheetPr codeName="Foglio3"/>
  <dimension ref="A1:BL60"/>
  <sheetViews>
    <sheetView zoomScale="80" zoomScaleNormal="80" workbookViewId="0">
      <selection activeCell="AB3" sqref="AB3"/>
    </sheetView>
  </sheetViews>
  <sheetFormatPr defaultRowHeight="15" x14ac:dyDescent="0.25"/>
  <cols>
    <col min="13" max="14" width="11.42578125" bestFit="1" customWidth="1"/>
    <col min="15" max="15" width="10.28515625" bestFit="1" customWidth="1"/>
    <col min="26" max="27" width="10.28515625" bestFit="1" customWidth="1"/>
    <col min="34" max="44" width="10.28515625" customWidth="1"/>
    <col min="45" max="47" width="12.7109375" bestFit="1" customWidth="1"/>
    <col min="48" max="49" width="13.7109375" bestFit="1" customWidth="1"/>
    <col min="50" max="50" width="13" bestFit="1" customWidth="1"/>
    <col min="51" max="51" width="13.7109375" bestFit="1" customWidth="1"/>
    <col min="52" max="52" width="11.28515625" bestFit="1" customWidth="1"/>
    <col min="53" max="53" width="13.7109375" bestFit="1" customWidth="1"/>
    <col min="54" max="55" width="12.7109375" bestFit="1" customWidth="1"/>
    <col min="56" max="56" width="13.7109375" bestFit="1" customWidth="1"/>
    <col min="57" max="57" width="12.7109375" bestFit="1" customWidth="1"/>
    <col min="58" max="61" width="13.7109375" bestFit="1" customWidth="1"/>
    <col min="62" max="62" width="12.7109375" bestFit="1" customWidth="1"/>
    <col min="63" max="64" width="13.7109375" bestFit="1" customWidth="1"/>
  </cols>
  <sheetData>
    <row r="1" spans="1:64" ht="15.75" thickBot="1" x14ac:dyDescent="0.3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  <c r="I1" s="3" t="s">
        <v>25</v>
      </c>
      <c r="J1" s="7" t="s">
        <v>26</v>
      </c>
      <c r="K1" s="6" t="s">
        <v>27</v>
      </c>
      <c r="L1" s="6" t="s">
        <v>28</v>
      </c>
      <c r="M1" s="7" t="s">
        <v>2</v>
      </c>
      <c r="N1" s="6" t="s">
        <v>3</v>
      </c>
      <c r="O1" s="6" t="s">
        <v>4</v>
      </c>
      <c r="P1" s="9" t="s">
        <v>29</v>
      </c>
      <c r="Q1" s="4" t="s">
        <v>30</v>
      </c>
      <c r="R1" s="4" t="s">
        <v>31</v>
      </c>
      <c r="S1" s="4" t="s">
        <v>32</v>
      </c>
      <c r="T1" s="4" t="s">
        <v>33</v>
      </c>
      <c r="U1" s="4" t="s">
        <v>34</v>
      </c>
      <c r="V1" s="4" t="s">
        <v>35</v>
      </c>
      <c r="W1" s="4" t="s">
        <v>36</v>
      </c>
      <c r="X1" s="9" t="s">
        <v>39</v>
      </c>
      <c r="Y1" s="4" t="s">
        <v>40</v>
      </c>
      <c r="Z1" s="9" t="s">
        <v>5</v>
      </c>
      <c r="AA1" s="4" t="s">
        <v>6</v>
      </c>
      <c r="AB1" s="10" t="s">
        <v>37</v>
      </c>
      <c r="AC1" s="5" t="s">
        <v>38</v>
      </c>
      <c r="AD1" s="5" t="s">
        <v>52</v>
      </c>
      <c r="AE1" s="5" t="s">
        <v>59</v>
      </c>
      <c r="AF1" s="13" t="s">
        <v>41</v>
      </c>
      <c r="AG1" s="13" t="s">
        <v>44</v>
      </c>
      <c r="AH1" s="16" t="s">
        <v>57</v>
      </c>
      <c r="AI1" s="37" t="s">
        <v>53</v>
      </c>
      <c r="AJ1" s="38"/>
      <c r="AK1" s="37" t="s">
        <v>54</v>
      </c>
      <c r="AL1" s="38"/>
      <c r="AM1" s="29"/>
      <c r="AN1" s="29" t="s">
        <v>56</v>
      </c>
      <c r="AO1" s="29"/>
      <c r="AP1" s="37" t="s">
        <v>55</v>
      </c>
      <c r="AQ1" s="39"/>
      <c r="AR1" s="38"/>
      <c r="AS1" s="3" t="str">
        <f>"delta"&amp;A1</f>
        <v>deltabeta1_1</v>
      </c>
      <c r="AT1" s="3" t="str">
        <f t="shared" ref="AT1:BA1" si="0">"delta"&amp;B1</f>
        <v>deltabeta1_2</v>
      </c>
      <c r="AU1" s="3" t="str">
        <f t="shared" si="0"/>
        <v>deltabeta1_3</v>
      </c>
      <c r="AV1" s="3" t="str">
        <f t="shared" si="0"/>
        <v>deltaw11_1</v>
      </c>
      <c r="AW1" s="3" t="str">
        <f t="shared" si="0"/>
        <v>deltaw11_2</v>
      </c>
      <c r="AX1" s="3" t="str">
        <f t="shared" si="0"/>
        <v>deltaw11_3</v>
      </c>
      <c r="AY1" s="3" t="str">
        <f t="shared" si="0"/>
        <v>deltaw12_1</v>
      </c>
      <c r="AZ1" s="3" t="str">
        <f t="shared" si="0"/>
        <v>deltaw12_2</v>
      </c>
      <c r="BA1" s="3" t="str">
        <f t="shared" si="0"/>
        <v>deltaw12_3</v>
      </c>
      <c r="BB1" s="4" t="str">
        <f t="shared" ref="BB1:BG1" si="1">"delta"&amp;P1</f>
        <v>deltabeta2_1</v>
      </c>
      <c r="BC1" s="4" t="str">
        <f t="shared" si="1"/>
        <v>deltabeta2_2</v>
      </c>
      <c r="BD1" s="4" t="str">
        <f t="shared" si="1"/>
        <v>deltaw21_1</v>
      </c>
      <c r="BE1" s="4" t="str">
        <f t="shared" si="1"/>
        <v>deltaw21_2</v>
      </c>
      <c r="BF1" s="4" t="str">
        <f t="shared" si="1"/>
        <v>deltaw22_1</v>
      </c>
      <c r="BG1" s="4" t="str">
        <f t="shared" si="1"/>
        <v>deltaw22_2</v>
      </c>
      <c r="BH1" s="4" t="str">
        <f t="shared" ref="BH1:BI1" si="2">"delta"&amp;V1</f>
        <v>deltaw23_1</v>
      </c>
      <c r="BI1" s="4" t="str">
        <f t="shared" si="2"/>
        <v>deltaw23_2</v>
      </c>
      <c r="BJ1" s="5" t="str">
        <f>"delta"&amp;AB1</f>
        <v>deltabeta3</v>
      </c>
      <c r="BK1" s="5" t="str">
        <f>"delta"&amp;AC1</f>
        <v>deltaw31_1</v>
      </c>
      <c r="BL1" s="5" t="str">
        <f>"delta"&amp;AD1</f>
        <v>deltaw32_1</v>
      </c>
    </row>
    <row r="2" spans="1:64" x14ac:dyDescent="0.25">
      <c r="A2">
        <v>5.6102856723453595E-3</v>
      </c>
      <c r="B2">
        <v>6.9447533229126356E-3</v>
      </c>
      <c r="C2">
        <v>9.1368034358288823E-3</v>
      </c>
      <c r="D2">
        <v>9.6943524898361593E-3</v>
      </c>
      <c r="E2">
        <v>2.6853979283950561E-3</v>
      </c>
      <c r="F2">
        <v>2.4652533747214866E-3</v>
      </c>
      <c r="G2">
        <v>1.1055876527514403E-2</v>
      </c>
      <c r="H2">
        <v>7.7026940663565179E-3</v>
      </c>
      <c r="I2">
        <v>2.795259195051612E-3</v>
      </c>
      <c r="J2" cm="1">
        <f t="array" ref="J2:J60">beta1_1+w11_1*X_1+w12_1*X_2</f>
        <v>0.25902497444576372</v>
      </c>
      <c r="K2" cm="1">
        <f t="array" ref="K2:K60">beta1_2+w11_2*X_1+w12_2*X_2</f>
        <v>8.178239559914556E-2</v>
      </c>
      <c r="L2" cm="1">
        <f t="array" ref="L2:L60">beta1_3+w11_3*X_1+w12_3*X_2</f>
        <v>7.356339699891766E-2</v>
      </c>
      <c r="M2" s="30" cm="1">
        <f t="array" ref="M2:M60">IF(z1_1&gt;0,1/(1+EXP(z1_1)),0)</f>
        <v>0.43560340616206983</v>
      </c>
      <c r="N2" s="30" cm="1">
        <f t="array" ref="N2:N60">IF(z1_2&gt;0,1/(1+EXP(z1_2)),0)</f>
        <v>0.47956578911110892</v>
      </c>
      <c r="O2" s="30" cm="1">
        <f t="array" ref="O2:O60">IF(z1_3&gt;0,1/(1+EXP(z1_3)),0)</f>
        <v>0.48161743988375738</v>
      </c>
      <c r="P2" s="8">
        <v>5.0248623218414473E-3</v>
      </c>
      <c r="Q2">
        <v>5.4733662935223222E-3</v>
      </c>
      <c r="R2">
        <v>-5.6735799282336529E-3</v>
      </c>
      <c r="S2">
        <v>-1.7719906001684334E-2</v>
      </c>
      <c r="T2">
        <v>6.800207072211081E-4</v>
      </c>
      <c r="U2">
        <v>3.1825226283004951E-3</v>
      </c>
      <c r="V2">
        <v>-5.8191985261534015E-3</v>
      </c>
      <c r="W2">
        <v>-1.1584383762230483E-3</v>
      </c>
      <c r="X2" s="8" cm="1">
        <f t="array" ref="X2:X60">beta2_1+w21_1*a1_1+w22_1*a1_2+W231*a1_3</f>
        <v>2.8795462470405015E-3</v>
      </c>
      <c r="Y2" cm="1">
        <f t="array" ref="Y2:Y60">beta2_2+w21_2*a1_1+w22_2*a1_2+w23_2*a1_3</f>
        <v>-1.277180267097831E-3</v>
      </c>
      <c r="Z2" s="30" cm="1">
        <f t="array" ref="Z2:Z60">IF(Z2_1&gt;0,1/(1+EXP(Z2_1)),0)</f>
        <v>0.49928011393566829</v>
      </c>
      <c r="AA2" s="30" cm="1">
        <f t="array" ref="AA2:AA60">IF(Z2_2&gt;0,1/(1+EXP(Z2_2)),0)</f>
        <v>0</v>
      </c>
      <c r="AB2" s="8">
        <v>9.1389986649983955E-3</v>
      </c>
      <c r="AC2">
        <v>-1.8406420044603231E-2</v>
      </c>
      <c r="AD2">
        <v>0.23915829513079284</v>
      </c>
      <c r="AE2" cm="1">
        <f t="array" ref="AE2:AE60">beta3+w31_1*a2_1+w32_1*a2_2</f>
        <v>-5.0960832018874871E-5</v>
      </c>
      <c r="AF2" s="14" cm="1">
        <f t="array" ref="AF2:AF60">1/(1+EXP(-(z_3)))</f>
        <v>0.4999872597919981</v>
      </c>
      <c r="AG2" s="14" t="b" cm="1">
        <f t="array" ref="AG2:AG60">ROUND(Y_pred,0)=Y</f>
        <v>1</v>
      </c>
      <c r="AH2" cm="1">
        <f t="array" ref="AH2:AH60">(Y - Y_pred)*Y_pred*(1-Y_pred)</f>
        <v>-0.12499681486684515</v>
      </c>
      <c r="AI2" cm="1">
        <f t="array" ref="AI2:AI60">w31_1*dZL</f>
        <v>2.3007438786766575E-3</v>
      </c>
      <c r="AJ2" cm="1">
        <f t="array" ref="AJ2:AJ60">w32_1*dZL</f>
        <v>-2.9894025140334027E-2</v>
      </c>
      <c r="AK2" cm="1">
        <f t="array" ref="AK2:AK60">(a2_1 &gt; 0) * dZL * w31_1 * (1 - a2_1)</f>
        <v>1.1520282127941847E-3</v>
      </c>
      <c r="AL2" cm="1">
        <f t="array" ref="AL2:AL60">(a2_2 &gt; 0) * dZL * w32_1 * (1 - a2_2)</f>
        <v>0</v>
      </c>
      <c r="AM2" cm="1">
        <f t="array" ref="AM2:AM60">dZ2_1*w21_1+w21_2*dZ2_2</f>
        <v>-6.5361241448679736E-6</v>
      </c>
      <c r="AN2" cm="1">
        <f t="array" ref="AN2:AN60">+w22_1*dZ2_1+w22_2*dZ2_2</f>
        <v>7.8340304000297065E-7</v>
      </c>
      <c r="AO2" cm="1">
        <f t="array" ref="AO2:AO60">+w23_1*dZ2_1+w23_2*dZ2_2</f>
        <v>-6.7038808779790569E-6</v>
      </c>
      <c r="AP2" cm="1">
        <f t="array" ref="AP2:AP60">a1_1 * (dZ2_1 * w21_1 + dZ2_2 * w22_1) * (1 - a1_1)</f>
        <v>-1.6069262437947431E-6</v>
      </c>
      <c r="AQ2" cm="1">
        <f t="array" ref="AQ2:AQ60">a1_2 * (dZ2_1 * w21_2 + dZ2_2 * w22_2) * (1 - a1_2)</f>
        <v>-5.094933972718855E-6</v>
      </c>
      <c r="AR2" cm="1">
        <f t="array" ref="AR2:AR60" xml:space="preserve"> a1_3 * (dZ2_1 * w23_1 + dZ2_2 * w23_2) * (1 - a1_3)</f>
        <v>-1.6737048540141723E-6</v>
      </c>
      <c r="AS2">
        <f>AVERAGE(dZ1_1)</f>
        <v>7.5196455473325378E-7</v>
      </c>
      <c r="AT2">
        <f>AVERAGE(dZ1_2)</f>
        <v>5.0236574951840555E-6</v>
      </c>
      <c r="AU2">
        <f>AVERAGE(dZ1_3)</f>
        <v>-2.0640379132759361E-6</v>
      </c>
      <c r="AV2">
        <f>SUMPRODUCT(dZ1_1,X_1)</f>
        <v>3.2833474076318001E-3</v>
      </c>
      <c r="AW2">
        <f>SUMPRODUCT(dZ1_2,X_1)</f>
        <v>1.7301766920532105E-2</v>
      </c>
      <c r="AX2">
        <f>SUMPRODUCT(dZ1_3,X_1)</f>
        <v>-3.8813765385517052E-3</v>
      </c>
      <c r="AY2">
        <f>SUMPRODUCT(dZ1_1,X_2)</f>
        <v>4.3006089529331768E-3</v>
      </c>
      <c r="AZ2">
        <f>SUMPRODUCT(dZ1_2,X_2)</f>
        <v>2.2278746956674141E-2</v>
      </c>
      <c r="BA2">
        <f>SUMPRODUCT(dZ1_3,X_2)</f>
        <v>-4.7220011377789419E-3</v>
      </c>
      <c r="BB2">
        <f>AVERAGE(dZ2_1)</f>
        <v>1.7125187441315513E-5</v>
      </c>
      <c r="BC2">
        <f>AVERAGE(dZ2_2)</f>
        <v>7.1268825898891941E-3</v>
      </c>
      <c r="BD2">
        <f>SUMPRODUCT(dZ2_1,a1_1)</f>
        <v>5.7463025961779811E-3</v>
      </c>
      <c r="BE2">
        <f>SUMPRODUCT(dZ2_2,a1_1)</f>
        <v>0.11025599217179899</v>
      </c>
      <c r="BF2">
        <f>SUMPRODUCT(dZ2_1,a1_2)</f>
        <v>3.5569504216087459E-3</v>
      </c>
      <c r="BG2">
        <f>SUMPRODUCT(dZ2_2,a1_2)</f>
        <v>0.15402827877607905</v>
      </c>
      <c r="BH2">
        <f>SUMPRODUCT(dZ2_1,a1_3)</f>
        <v>1.9911163567417852E-3</v>
      </c>
      <c r="BI2">
        <f>SUMPRODUCT(dZ2_2,a1_3)</f>
        <v>0.1819386561302139</v>
      </c>
      <c r="BJ2">
        <f>AVERAGE(dZL)</f>
        <v>-1.883820271497855E-3</v>
      </c>
      <c r="BK2">
        <f>SUMPRODUCT(dZL,a2_1)</f>
        <v>-5.6252263264192318E-2</v>
      </c>
      <c r="BL2">
        <f>SUMPRODUCT(dZL,a2_2)</f>
        <v>1.7555711118743258</v>
      </c>
    </row>
    <row r="3" spans="1:64" x14ac:dyDescent="0.25">
      <c r="J3" s="8">
        <v>3.6054867179532081E-2</v>
      </c>
      <c r="K3">
        <v>2.0018243246059265E-2</v>
      </c>
      <c r="L3">
        <v>1.6862569380323468E-2</v>
      </c>
      <c r="M3" s="30">
        <v>0.49098725952921801</v>
      </c>
      <c r="N3" s="31">
        <v>0.49499560630495226</v>
      </c>
      <c r="O3" s="31">
        <v>0.49578445754391853</v>
      </c>
      <c r="P3" s="8"/>
      <c r="X3" s="8">
        <v>2.5758141234288635E-3</v>
      </c>
      <c r="Y3">
        <v>-2.2258828173389797E-3</v>
      </c>
      <c r="Z3" s="8">
        <v>0.49935604682518553</v>
      </c>
      <c r="AA3">
        <v>0</v>
      </c>
      <c r="AB3" s="8"/>
      <c r="AE3">
        <v>-5.2358484678528827E-5</v>
      </c>
      <c r="AF3" s="14">
        <v>0.49998691037883336</v>
      </c>
      <c r="AG3" s="14" t="b">
        <v>1</v>
      </c>
      <c r="AH3">
        <v>-0.12499672750904149</v>
      </c>
      <c r="AI3">
        <v>2.3007422707322293E-3</v>
      </c>
      <c r="AJ3">
        <v>-2.9894004247990637E-2</v>
      </c>
      <c r="AK3">
        <v>1.1518527056557826E-3</v>
      </c>
      <c r="AL3">
        <v>0</v>
      </c>
      <c r="AM3">
        <v>-6.5351283910902739E-6</v>
      </c>
      <c r="AN3">
        <v>7.8328369151459211E-7</v>
      </c>
      <c r="AO3">
        <v>-6.7028595670979375E-6</v>
      </c>
      <c r="AP3">
        <v>-1.6332512526210891E-6</v>
      </c>
      <c r="AQ3">
        <v>-5.1021692527808728E-6</v>
      </c>
      <c r="AR3">
        <v>-1.675595776609761E-6</v>
      </c>
    </row>
    <row r="4" spans="1:64" x14ac:dyDescent="0.25">
      <c r="J4" s="8">
        <v>0.3263943891963515</v>
      </c>
      <c r="K4">
        <v>0.19788720620991646</v>
      </c>
      <c r="L4">
        <v>9.0354532724736231E-2</v>
      </c>
      <c r="M4" s="30">
        <v>0.41911818155550407</v>
      </c>
      <c r="N4" s="31">
        <v>0.45068900903753123</v>
      </c>
      <c r="O4" s="31">
        <v>0.47742672197322533</v>
      </c>
      <c r="P4" s="8"/>
      <c r="X4" s="8">
        <v>2.9534396780728335E-3</v>
      </c>
      <c r="Y4">
        <v>-1.072109954217965E-3</v>
      </c>
      <c r="Z4" s="8">
        <v>0.49926164061719547</v>
      </c>
      <c r="AA4">
        <v>0</v>
      </c>
      <c r="AB4" s="8"/>
      <c r="AE4">
        <v>-5.0620804359444854E-5</v>
      </c>
      <c r="AF4" s="14">
        <v>0.49998734479891283</v>
      </c>
      <c r="AG4" s="14" t="b">
        <v>1</v>
      </c>
      <c r="AH4">
        <v>-0.12499683611965318</v>
      </c>
      <c r="AI4">
        <v>2.3007442698647694E-3</v>
      </c>
      <c r="AJ4">
        <v>-2.9894030223119362E-2</v>
      </c>
      <c r="AK4">
        <v>1.152070911051473E-3</v>
      </c>
      <c r="AL4">
        <v>0</v>
      </c>
      <c r="AM4">
        <v>-6.5363663968434952E-6</v>
      </c>
      <c r="AN4">
        <v>7.8343207570208896E-7</v>
      </c>
      <c r="AO4">
        <v>-6.704129347614938E-6</v>
      </c>
      <c r="AP4">
        <v>-1.5913315494161341E-6</v>
      </c>
      <c r="AQ4">
        <v>-5.0540074842412264E-6</v>
      </c>
      <c r="AR4">
        <v>-1.6726162284809049E-6</v>
      </c>
    </row>
    <row r="5" spans="1:64" x14ac:dyDescent="0.25">
      <c r="J5" s="8">
        <v>0.24475499716462751</v>
      </c>
      <c r="K5">
        <v>0.16135213436887164</v>
      </c>
      <c r="L5">
        <v>6.9642488265973967E-2</v>
      </c>
      <c r="M5" s="30">
        <v>0.43911489125906328</v>
      </c>
      <c r="N5" s="31">
        <v>0.45974925424769653</v>
      </c>
      <c r="O5" s="31">
        <v>0.48259641142583071</v>
      </c>
      <c r="P5" s="8"/>
      <c r="X5" s="8">
        <v>2.8461479016234185E-3</v>
      </c>
      <c r="Y5">
        <v>-1.4036041017637547E-3</v>
      </c>
      <c r="Z5" s="8">
        <v>0.49928846350491429</v>
      </c>
      <c r="AA5">
        <v>0</v>
      </c>
      <c r="AB5" s="8"/>
      <c r="AE5">
        <v>-5.1114517697606679E-5</v>
      </c>
      <c r="AF5" s="14">
        <v>0.49998722137057838</v>
      </c>
      <c r="AG5" s="14" t="b">
        <v>1</v>
      </c>
      <c r="AH5">
        <v>-0.124996805261</v>
      </c>
      <c r="AI5">
        <v>2.3007437018674371E-3</v>
      </c>
      <c r="AJ5">
        <v>-2.9894022843016479E-2</v>
      </c>
      <c r="AK5">
        <v>1.1520089140434357E-3</v>
      </c>
      <c r="AL5">
        <v>0</v>
      </c>
      <c r="AM5">
        <v>-6.5360146518630847E-6</v>
      </c>
      <c r="AN5">
        <v>7.8338991645283794E-7</v>
      </c>
      <c r="AO5">
        <v>-6.7037685747171419E-6</v>
      </c>
      <c r="AP5">
        <v>-1.6097746797470045E-6</v>
      </c>
      <c r="AQ5">
        <v>-5.0703000628839932E-6</v>
      </c>
      <c r="AR5">
        <v>-1.6739116734366919E-6</v>
      </c>
      <c r="AX5" s="35"/>
    </row>
    <row r="6" spans="1:64" x14ac:dyDescent="0.25">
      <c r="J6" s="8">
        <v>0.41364356160487692</v>
      </c>
      <c r="K6">
        <v>0.22205578756547195</v>
      </c>
      <c r="L6">
        <v>0.11254181309722962</v>
      </c>
      <c r="M6" s="30">
        <v>0.39803878606213522</v>
      </c>
      <c r="N6" s="31">
        <v>0.44471304429146663</v>
      </c>
      <c r="O6" s="31">
        <v>0.47189420533471932</v>
      </c>
      <c r="P6" s="8"/>
      <c r="X6" s="8">
        <v>3.0689715334703631E-3</v>
      </c>
      <c r="Y6">
        <v>-7.1119461094227958E-4</v>
      </c>
      <c r="Z6" s="8">
        <v>0.49923275771882708</v>
      </c>
      <c r="AA6">
        <v>0</v>
      </c>
      <c r="AB6" s="8"/>
      <c r="AE6">
        <v>-5.0089173599970893E-5</v>
      </c>
      <c r="AF6" s="14">
        <v>0.49998747770660262</v>
      </c>
      <c r="AG6" s="14" t="b">
        <v>1</v>
      </c>
      <c r="AH6">
        <v>-0.12499686934824869</v>
      </c>
      <c r="AI6">
        <v>2.3007448814842558E-3</v>
      </c>
      <c r="AJ6">
        <v>-2.9894038170013612E-2</v>
      </c>
      <c r="AK6">
        <v>1.1521376694933947E-3</v>
      </c>
      <c r="AL6">
        <v>0</v>
      </c>
      <c r="AM6">
        <v>-6.5367451561996223E-6</v>
      </c>
      <c r="AN6">
        <v>7.8347747282497749E-7</v>
      </c>
      <c r="AO6">
        <v>-6.7045178282417769E-6</v>
      </c>
      <c r="AP6">
        <v>-1.5662297036703688E-6</v>
      </c>
      <c r="AQ6">
        <v>-5.0415389856745764E-6</v>
      </c>
      <c r="AR6">
        <v>-1.6708333191184197E-6</v>
      </c>
    </row>
    <row r="7" spans="1:64" x14ac:dyDescent="0.25">
      <c r="J7" s="8">
        <v>0.51875623072930799</v>
      </c>
      <c r="K7">
        <v>0.27901354367719133</v>
      </c>
      <c r="L7">
        <v>0.13917438176642524</v>
      </c>
      <c r="M7" s="30">
        <v>0.37314311450392085</v>
      </c>
      <c r="N7" s="31">
        <v>0.43069563554359525</v>
      </c>
      <c r="O7" s="31">
        <v>0.46526245722663689</v>
      </c>
      <c r="P7" s="8"/>
      <c r="X7" s="8">
        <v>3.2006869877128107E-3</v>
      </c>
      <c r="Y7">
        <v>-3.0697390010230485E-4</v>
      </c>
      <c r="Z7" s="8">
        <v>0.49919982893617759</v>
      </c>
      <c r="AA7">
        <v>0</v>
      </c>
      <c r="AB7" s="8"/>
      <c r="AE7">
        <v>-4.9483072594967703E-5</v>
      </c>
      <c r="AF7" s="14">
        <v>0.4999876292318538</v>
      </c>
      <c r="AG7" s="14" t="b">
        <v>1</v>
      </c>
      <c r="AH7">
        <v>-0.12499690723144739</v>
      </c>
      <c r="AI7">
        <v>2.3007455787783238E-3</v>
      </c>
      <c r="AJ7">
        <v>-2.9894047230094829E-2</v>
      </c>
      <c r="AK7">
        <v>1.1522137794265175E-3</v>
      </c>
      <c r="AL7">
        <v>0</v>
      </c>
      <c r="AM7">
        <v>-6.5371769719885267E-6</v>
      </c>
      <c r="AN7">
        <v>7.835292291555263E-7</v>
      </c>
      <c r="AO7">
        <v>-6.704960727052431E-6</v>
      </c>
      <c r="AP7">
        <v>-1.5290936151922357E-6</v>
      </c>
      <c r="AQ7">
        <v>-5.0062146013554374E-6</v>
      </c>
      <c r="AR7">
        <v>-1.6681493265871221E-6</v>
      </c>
    </row>
    <row r="8" spans="1:64" x14ac:dyDescent="0.25">
      <c r="J8" s="8">
        <v>0.31517482844274863</v>
      </c>
      <c r="K8">
        <v>0.22262018718089513</v>
      </c>
      <c r="L8">
        <v>8.7404060897274025E-2</v>
      </c>
      <c r="M8" s="30">
        <v>0.42185212711558534</v>
      </c>
      <c r="N8" s="31">
        <v>0.44457367391087244</v>
      </c>
      <c r="O8" s="31">
        <v>0.47816288500442733</v>
      </c>
      <c r="P8" s="8"/>
      <c r="X8" s="8">
        <v>2.9337698649005484E-3</v>
      </c>
      <c r="Y8">
        <v>-1.1408702044830607E-3</v>
      </c>
      <c r="Z8" s="8">
        <v>0.49926655805983633</v>
      </c>
      <c r="AA8">
        <v>0</v>
      </c>
      <c r="AB8" s="8"/>
      <c r="AE8">
        <v>-5.0711316874238813E-5</v>
      </c>
      <c r="AF8" s="14">
        <v>0.49998732217078423</v>
      </c>
      <c r="AG8" s="14" t="b">
        <v>1</v>
      </c>
      <c r="AH8">
        <v>-0.12499683046233441</v>
      </c>
      <c r="AI8">
        <v>2.3007441657337839E-3</v>
      </c>
      <c r="AJ8">
        <v>-2.9894028870124649E-2</v>
      </c>
      <c r="AK8">
        <v>1.152059545131628E-3</v>
      </c>
      <c r="AL8">
        <v>0</v>
      </c>
      <c r="AM8">
        <v>-6.5363019113887969E-6</v>
      </c>
      <c r="AN8">
        <v>7.8342434664123772E-7</v>
      </c>
      <c r="AO8">
        <v>-6.7040632070709279E-6</v>
      </c>
      <c r="AP8">
        <v>-1.5941576935695249E-6</v>
      </c>
      <c r="AQ8">
        <v>-5.0408821309806046E-6</v>
      </c>
      <c r="AR8">
        <v>-1.6728189049265586E-6</v>
      </c>
    </row>
    <row r="9" spans="1:64" x14ac:dyDescent="0.25">
      <c r="J9" s="8">
        <v>0.23827474542841318</v>
      </c>
      <c r="K9">
        <v>7.1394303604393985E-2</v>
      </c>
      <c r="L9">
        <v>6.8302884429144561E-2</v>
      </c>
      <c r="M9" s="30">
        <v>0.44071155630086889</v>
      </c>
      <c r="N9" s="31">
        <v>0.4821590016371875</v>
      </c>
      <c r="O9" s="31">
        <v>0.48293091438782038</v>
      </c>
      <c r="P9" s="8"/>
      <c r="X9" s="8">
        <v>2.8523281871585659E-3</v>
      </c>
      <c r="Y9">
        <v>-1.3609648291273019E-3</v>
      </c>
      <c r="Z9" s="8">
        <v>0.49928691843666634</v>
      </c>
      <c r="AA9">
        <v>0</v>
      </c>
      <c r="AB9" s="8"/>
      <c r="AE9">
        <v>-5.108607852243735E-5</v>
      </c>
      <c r="AF9" s="14">
        <v>0.49998722848037219</v>
      </c>
      <c r="AG9" s="14" t="b">
        <v>1</v>
      </c>
      <c r="AH9">
        <v>-0.12499680703853928</v>
      </c>
      <c r="AI9">
        <v>2.3007437345855717E-3</v>
      </c>
      <c r="AJ9">
        <v>-2.9894023268129743E-2</v>
      </c>
      <c r="AK9">
        <v>1.1520124852318742E-3</v>
      </c>
      <c r="AL9">
        <v>0</v>
      </c>
      <c r="AM9">
        <v>-6.5360349132861291E-6</v>
      </c>
      <c r="AN9">
        <v>7.8339234493492549E-7</v>
      </c>
      <c r="AO9">
        <v>-6.7037893561716394E-6</v>
      </c>
      <c r="AP9">
        <v>-1.6110337841774092E-6</v>
      </c>
      <c r="AQ9">
        <v>-5.0968905789073262E-6</v>
      </c>
      <c r="AR9">
        <v>-1.6739941653196699E-6</v>
      </c>
    </row>
    <row r="10" spans="1:64" x14ac:dyDescent="0.25">
      <c r="J10" s="8">
        <v>0.21567193969511902</v>
      </c>
      <c r="K10">
        <v>0.15329594058368648</v>
      </c>
      <c r="L10">
        <v>6.224672814180951E-2</v>
      </c>
      <c r="M10" s="30">
        <v>0.44629004432284936</v>
      </c>
      <c r="N10" s="31">
        <v>0.46175088891271859</v>
      </c>
      <c r="O10" s="31">
        <v>0.48444334069772604</v>
      </c>
      <c r="P10" s="8"/>
      <c r="X10" s="8">
        <v>2.8068002502392242E-3</v>
      </c>
      <c r="Y10">
        <v>-1.5265164457334505E-3</v>
      </c>
      <c r="Z10" s="8">
        <v>0.4992983003981134</v>
      </c>
      <c r="AA10">
        <v>0</v>
      </c>
      <c r="AB10" s="8"/>
      <c r="AE10">
        <v>-5.1295579685764481E-5</v>
      </c>
      <c r="AF10" s="14">
        <v>0.49998717610508137</v>
      </c>
      <c r="AG10" s="14" t="b">
        <v>1</v>
      </c>
      <c r="AH10">
        <v>-0.12499679394404631</v>
      </c>
      <c r="AI10">
        <v>2.3007434935628335E-3</v>
      </c>
      <c r="AJ10">
        <v>-2.9894020136473125E-2</v>
      </c>
      <c r="AK10">
        <v>1.151986177574893E-3</v>
      </c>
      <c r="AL10">
        <v>0</v>
      </c>
      <c r="AM10">
        <v>-6.5358856546915213E-6</v>
      </c>
      <c r="AN10">
        <v>7.8337445518341976E-7</v>
      </c>
      <c r="AO10">
        <v>-6.7036362666929074E-6</v>
      </c>
      <c r="AP10">
        <v>-1.6151169564929089E-6</v>
      </c>
      <c r="AQ10">
        <v>-5.073407461797874E-6</v>
      </c>
      <c r="AR10">
        <v>-1.6742867220156673E-6</v>
      </c>
    </row>
    <row r="11" spans="1:64" x14ac:dyDescent="0.25">
      <c r="J11" s="8">
        <v>0.29355412806598519</v>
      </c>
      <c r="K11">
        <v>0.10990777393617657</v>
      </c>
      <c r="L11">
        <v>8.2279180404402616E-2</v>
      </c>
      <c r="M11" s="30">
        <v>0.42713398117790125</v>
      </c>
      <c r="N11" s="31">
        <v>0.47255068262403999</v>
      </c>
      <c r="O11" s="31">
        <v>0.47944180160695232</v>
      </c>
      <c r="P11" s="8"/>
      <c r="X11" s="8">
        <v>2.9228277889597931E-3</v>
      </c>
      <c r="Y11">
        <v>-1.1469082447524508E-3</v>
      </c>
      <c r="Z11" s="8">
        <v>0.4992692935729573</v>
      </c>
      <c r="AA11">
        <v>0</v>
      </c>
      <c r="AB11" s="8"/>
      <c r="AE11">
        <v>-5.076166787778072E-5</v>
      </c>
      <c r="AF11" s="14">
        <v>0.49998730958303328</v>
      </c>
      <c r="AG11" s="14" t="b">
        <v>1</v>
      </c>
      <c r="AH11">
        <v>-0.12499682731523702</v>
      </c>
      <c r="AI11">
        <v>2.3007441078069873E-3</v>
      </c>
      <c r="AJ11">
        <v>-2.9894028117470203E-2</v>
      </c>
      <c r="AK11">
        <v>1.152053222410049E-3</v>
      </c>
      <c r="AL11">
        <v>0</v>
      </c>
      <c r="AM11">
        <v>-6.5362660389225547E-6</v>
      </c>
      <c r="AN11">
        <v>7.8342004705963808E-7</v>
      </c>
      <c r="AO11">
        <v>-6.7040264138988338E-6</v>
      </c>
      <c r="AP11">
        <v>-1.5993624882239498E-6</v>
      </c>
      <c r="AQ11">
        <v>-5.0881872604429175E-6</v>
      </c>
      <c r="AR11">
        <v>-1.6731732169612411E-6</v>
      </c>
    </row>
    <row r="12" spans="1:64" x14ac:dyDescent="0.25">
      <c r="J12" s="8">
        <v>0.38439681990927999</v>
      </c>
      <c r="K12">
        <v>0.24643526881762201</v>
      </c>
      <c r="L12">
        <v>0.10499084034065455</v>
      </c>
      <c r="M12" s="30">
        <v>0.405066876790449</v>
      </c>
      <c r="N12" s="31">
        <v>0.43870109453711348</v>
      </c>
      <c r="O12" s="31">
        <v>0.47377637424331787</v>
      </c>
      <c r="P12" s="8"/>
      <c r="X12" s="8">
        <v>3.0250088486566641E-3</v>
      </c>
      <c r="Y12">
        <v>-8.5704526084699718E-4</v>
      </c>
      <c r="Z12" s="8">
        <v>0.49924374836452046</v>
      </c>
      <c r="AA12">
        <v>0</v>
      </c>
      <c r="AB12" s="8"/>
      <c r="AE12">
        <v>-5.0291472041165755E-5</v>
      </c>
      <c r="AF12" s="14">
        <v>0.4999874271319924</v>
      </c>
      <c r="AG12" s="14" t="b">
        <v>1</v>
      </c>
      <c r="AH12">
        <v>-0.12499685670396159</v>
      </c>
      <c r="AI12">
        <v>2.3007446487481962E-3</v>
      </c>
      <c r="AJ12">
        <v>-2.9894035146027467E-2</v>
      </c>
      <c r="AK12">
        <v>1.1521122662775348E-3</v>
      </c>
      <c r="AL12">
        <v>0</v>
      </c>
      <c r="AM12">
        <v>-6.5366010290240071E-6</v>
      </c>
      <c r="AN12">
        <v>7.8346019811216286E-7</v>
      </c>
      <c r="AO12">
        <v>-6.7043700018854862E-6</v>
      </c>
      <c r="AP12">
        <v>-1.5752404616445591E-6</v>
      </c>
      <c r="AQ12">
        <v>-5.0271185571681284E-6</v>
      </c>
      <c r="AR12">
        <v>-1.6714820490443833E-6</v>
      </c>
    </row>
    <row r="13" spans="1:64" x14ac:dyDescent="0.25">
      <c r="J13" s="8">
        <v>8.0278373289589686E-2</v>
      </c>
      <c r="K13">
        <v>5.0829019511485336E-2</v>
      </c>
      <c r="L13">
        <v>2.8043606160529914E-2</v>
      </c>
      <c r="M13" s="30">
        <v>0.47994117813975123</v>
      </c>
      <c r="N13" s="31">
        <v>0.48729548027604397</v>
      </c>
      <c r="O13" s="31">
        <v>0.49298955789709992</v>
      </c>
      <c r="P13" s="8"/>
      <c r="X13" s="8">
        <v>2.6332487039379075E-3</v>
      </c>
      <c r="Y13">
        <v>-2.0514153997498725E-3</v>
      </c>
      <c r="Z13" s="8">
        <v>0.49934168820440994</v>
      </c>
      <c r="AA13">
        <v>0</v>
      </c>
      <c r="AB13" s="8"/>
      <c r="AE13">
        <v>-5.2094193873272396E-5</v>
      </c>
      <c r="AF13" s="14">
        <v>0.49998697645153461</v>
      </c>
      <c r="AG13" s="14" t="b">
        <v>1</v>
      </c>
      <c r="AH13">
        <v>-0.12499674402807948</v>
      </c>
      <c r="AI13">
        <v>2.300742574788581E-3</v>
      </c>
      <c r="AJ13">
        <v>-2.9894008198655599E-2</v>
      </c>
      <c r="AK13">
        <v>1.1518858933698901E-3</v>
      </c>
      <c r="AL13">
        <v>0</v>
      </c>
      <c r="AM13">
        <v>-6.5353166842388979E-6</v>
      </c>
      <c r="AN13">
        <v>7.8330625984741054E-7</v>
      </c>
      <c r="AO13">
        <v>-6.7030526929949581E-6</v>
      </c>
      <c r="AP13">
        <v>-1.6311996449943726E-6</v>
      </c>
      <c r="AQ13">
        <v>-5.0995329549892497E-6</v>
      </c>
      <c r="AR13">
        <v>-1.6754337430203747E-6</v>
      </c>
    </row>
    <row r="14" spans="1:64" x14ac:dyDescent="0.25">
      <c r="J14" s="8">
        <v>0.40547441737880752</v>
      </c>
      <c r="K14">
        <v>0.19195201073770321</v>
      </c>
      <c r="L14">
        <v>0.11056177817524887</v>
      </c>
      <c r="M14" s="30">
        <v>0.39999776577712559</v>
      </c>
      <c r="N14" s="31">
        <v>0.45215880188977731</v>
      </c>
      <c r="O14" s="31">
        <v>0.47238767726566916</v>
      </c>
      <c r="P14" s="8"/>
      <c r="X14" s="8">
        <v>3.0629203748273768E-3</v>
      </c>
      <c r="Y14">
        <v>-7.227829121320519E-4</v>
      </c>
      <c r="Z14" s="8">
        <v>0.49923427050493274</v>
      </c>
      <c r="AA14">
        <v>0</v>
      </c>
      <c r="AB14" s="8"/>
      <c r="AE14">
        <v>-5.0117018576469052E-5</v>
      </c>
      <c r="AF14" s="14">
        <v>0.49998747074535854</v>
      </c>
      <c r="AG14" s="14" t="b">
        <v>1</v>
      </c>
      <c r="AH14">
        <v>-0.1249968676078505</v>
      </c>
      <c r="AI14">
        <v>2.3007448494497557E-3</v>
      </c>
      <c r="AJ14">
        <v>-2.9894037753782951E-2</v>
      </c>
      <c r="AK14">
        <v>1.1521341729167256E-3</v>
      </c>
      <c r="AL14">
        <v>0</v>
      </c>
      <c r="AM14">
        <v>-6.5367253180924149E-6</v>
      </c>
      <c r="AN14">
        <v>7.8347509508043824E-7</v>
      </c>
      <c r="AO14">
        <v>-6.7044974809679775E-6</v>
      </c>
      <c r="AP14">
        <v>-1.5688111554093039E-6</v>
      </c>
      <c r="AQ14">
        <v>-5.0572002395156628E-6</v>
      </c>
      <c r="AR14">
        <v>-1.6710125907234969E-6</v>
      </c>
    </row>
    <row r="15" spans="1:64" x14ac:dyDescent="0.25">
      <c r="J15" s="8">
        <v>0.27008085097327816</v>
      </c>
      <c r="K15">
        <v>8.9485089665502088E-2</v>
      </c>
      <c r="L15">
        <v>7.6358656193969282E-2</v>
      </c>
      <c r="M15" s="30">
        <v>0.43288724634615877</v>
      </c>
      <c r="N15" s="31">
        <v>0.47764364395450332</v>
      </c>
      <c r="O15" s="31">
        <v>0.48091960596672229</v>
      </c>
      <c r="P15" s="8"/>
      <c r="X15" s="8">
        <v>2.8936494983451523E-3</v>
      </c>
      <c r="Y15">
        <v>-1.2343590433403872E-3</v>
      </c>
      <c r="Z15" s="8">
        <v>0.49927658813018677</v>
      </c>
      <c r="AA15">
        <v>0</v>
      </c>
      <c r="AB15" s="8"/>
      <c r="AE15">
        <v>-5.0895934562185038E-5</v>
      </c>
      <c r="AF15" s="14">
        <v>0.49998727601636228</v>
      </c>
      <c r="AG15" s="14" t="b">
        <v>1</v>
      </c>
      <c r="AH15">
        <v>-0.12499681892314275</v>
      </c>
      <c r="AI15">
        <v>2.3007439533385752E-3</v>
      </c>
      <c r="AJ15">
        <v>-2.9894026110431245E-2</v>
      </c>
      <c r="AK15">
        <v>1.1520363621545337E-3</v>
      </c>
      <c r="AL15">
        <v>0</v>
      </c>
      <c r="AM15">
        <v>-6.5361703809152783E-6</v>
      </c>
      <c r="AN15">
        <v>7.8340858173675867E-7</v>
      </c>
      <c r="AO15">
        <v>-6.7039283007247892E-6</v>
      </c>
      <c r="AP15">
        <v>-1.6046028883616254E-6</v>
      </c>
      <c r="AQ15">
        <v>-5.0932909708785037E-6</v>
      </c>
      <c r="AR15">
        <v>-1.6735414334140763E-6</v>
      </c>
    </row>
    <row r="16" spans="1:64" x14ac:dyDescent="0.25">
      <c r="J16" s="8">
        <v>0.43591899888599417</v>
      </c>
      <c r="K16">
        <v>0.20502550066084985</v>
      </c>
      <c r="L16">
        <v>0.11828754411974346</v>
      </c>
      <c r="M16" s="30">
        <v>0.3927138185862612</v>
      </c>
      <c r="N16" s="31">
        <v>0.44892242204838662</v>
      </c>
      <c r="O16" s="31">
        <v>0.4704625464719816</v>
      </c>
      <c r="P16" s="8"/>
      <c r="X16" s="8">
        <v>3.1020456260992006E-3</v>
      </c>
      <c r="Y16">
        <v>-6.0178175927704783E-4</v>
      </c>
      <c r="Z16" s="8">
        <v>0.49922448921534984</v>
      </c>
      <c r="AA16">
        <v>0</v>
      </c>
      <c r="AB16" s="8"/>
      <c r="AE16">
        <v>-4.9936980051828311E-5</v>
      </c>
      <c r="AF16" s="14">
        <v>0.49998751575498968</v>
      </c>
      <c r="AG16" s="14" t="b">
        <v>1</v>
      </c>
      <c r="AH16">
        <v>-0.12499687886082118</v>
      </c>
      <c r="AI16">
        <v>2.3007450565766608E-3</v>
      </c>
      <c r="AJ16">
        <v>-2.9894040445024233E-2</v>
      </c>
      <c r="AK16">
        <v>1.1521567808924359E-3</v>
      </c>
      <c r="AL16">
        <v>0</v>
      </c>
      <c r="AM16">
        <v>-6.5368535862496232E-6</v>
      </c>
      <c r="AN16">
        <v>7.8349046897206956E-7</v>
      </c>
      <c r="AO16">
        <v>-6.7046290412669102E-6</v>
      </c>
      <c r="AP16">
        <v>-1.5589720891222689E-6</v>
      </c>
      <c r="AQ16">
        <v>-5.0507634878679472E-6</v>
      </c>
      <c r="AR16">
        <v>-1.6703077318798469E-6</v>
      </c>
    </row>
    <row r="17" spans="10:44" x14ac:dyDescent="0.25">
      <c r="J17" s="8">
        <v>0.32808328168620665</v>
      </c>
      <c r="K17">
        <v>0.13803315227320759</v>
      </c>
      <c r="L17">
        <v>9.0994963809887586E-2</v>
      </c>
      <c r="M17" s="30">
        <v>0.41870706320248668</v>
      </c>
      <c r="N17" s="31">
        <v>0.46554639870749398</v>
      </c>
      <c r="O17" s="31">
        <v>0.47726694285077054</v>
      </c>
      <c r="P17" s="8"/>
      <c r="X17" s="8">
        <v>2.9658755235394694E-3</v>
      </c>
      <c r="Y17">
        <v>-1.0173559025576239E-3</v>
      </c>
      <c r="Z17" s="8">
        <v>0.49925853166263717</v>
      </c>
      <c r="AA17">
        <v>0</v>
      </c>
      <c r="AB17" s="8"/>
      <c r="AE17">
        <v>-5.0563579635945141E-5</v>
      </c>
      <c r="AF17" s="14">
        <v>0.49998735910509368</v>
      </c>
      <c r="AG17" s="14" t="b">
        <v>1</v>
      </c>
      <c r="AH17">
        <v>-0.12499683969637934</v>
      </c>
      <c r="AI17">
        <v>2.3007443356994933E-3</v>
      </c>
      <c r="AJ17">
        <v>-2.9894031078523092E-2</v>
      </c>
      <c r="AK17">
        <v>1.1520780969270345E-3</v>
      </c>
      <c r="AL17">
        <v>0</v>
      </c>
      <c r="AM17">
        <v>-6.5364071664828475E-6</v>
      </c>
      <c r="AN17">
        <v>7.834369622462703E-7</v>
      </c>
      <c r="AO17">
        <v>-6.7041711636514147E-6</v>
      </c>
      <c r="AP17">
        <v>-1.5909056731218794E-6</v>
      </c>
      <c r="AQ17">
        <v>-5.079445594795729E-6</v>
      </c>
      <c r="AR17">
        <v>-1.6725781296440718E-6</v>
      </c>
    </row>
    <row r="18" spans="10:44" x14ac:dyDescent="0.25">
      <c r="J18" s="8">
        <v>0.28200719886020542</v>
      </c>
      <c r="K18">
        <v>0.19951210498182559</v>
      </c>
      <c r="L18">
        <v>7.9018283312119186E-2</v>
      </c>
      <c r="M18" s="30">
        <v>0.42996175336697567</v>
      </c>
      <c r="N18" s="31">
        <v>0.45028676772412024</v>
      </c>
      <c r="O18" s="31">
        <v>0.48025570153718528</v>
      </c>
      <c r="P18" s="8"/>
      <c r="X18" s="8">
        <v>2.8916442742704892E-3</v>
      </c>
      <c r="Y18">
        <v>-1.2688143680141652E-3</v>
      </c>
      <c r="Z18" s="8">
        <v>0.49927708943515675</v>
      </c>
      <c r="AA18">
        <v>0</v>
      </c>
      <c r="AB18" s="8"/>
      <c r="AE18">
        <v>-5.0905161792033291E-5</v>
      </c>
      <c r="AF18" s="14">
        <v>0.4999872737095547</v>
      </c>
      <c r="AG18" s="14" t="b">
        <v>1</v>
      </c>
      <c r="AH18">
        <v>-0.12499681834641149</v>
      </c>
      <c r="AI18">
        <v>2.3007439427230173E-3</v>
      </c>
      <c r="AJ18">
        <v>-2.9894025972501181E-2</v>
      </c>
      <c r="AK18">
        <v>1.1520352034647022E-3</v>
      </c>
      <c r="AL18">
        <v>0</v>
      </c>
      <c r="AM18">
        <v>-6.5361638069959062E-6</v>
      </c>
      <c r="AN18">
        <v>7.8340779380367988E-7</v>
      </c>
      <c r="AO18">
        <v>-6.7039215580786292E-6</v>
      </c>
      <c r="AP18">
        <v>-1.6019787414573721E-6</v>
      </c>
      <c r="AQ18">
        <v>-5.0530377178162654E-6</v>
      </c>
      <c r="AR18">
        <v>-1.6733669506939742E-6</v>
      </c>
    </row>
    <row r="19" spans="10:44" x14ac:dyDescent="0.25">
      <c r="J19" s="8">
        <v>0.39697790470056116</v>
      </c>
      <c r="K19">
        <v>0.22671958398460479</v>
      </c>
      <c r="L19">
        <v>0.1082713179884469</v>
      </c>
      <c r="M19" s="30">
        <v>0.40203864682144153</v>
      </c>
      <c r="N19" s="31">
        <v>0.44356164973896645</v>
      </c>
      <c r="O19" s="31">
        <v>0.47295858183029127</v>
      </c>
      <c r="P19" s="8"/>
      <c r="X19" s="8">
        <v>3.045495031612752E-3</v>
      </c>
      <c r="Y19">
        <v>-7.8696912141366731E-4</v>
      </c>
      <c r="Z19" s="8">
        <v>0.49923862683057735</v>
      </c>
      <c r="AA19">
        <v>0</v>
      </c>
      <c r="AB19" s="8"/>
      <c r="AE19">
        <v>-5.0197202936134999E-5</v>
      </c>
      <c r="AF19" s="14">
        <v>0.49998745069926864</v>
      </c>
      <c r="AG19" s="14" t="b">
        <v>1</v>
      </c>
      <c r="AH19">
        <v>-0.12499686259607666</v>
      </c>
      <c r="AI19">
        <v>2.3007447572009412E-3</v>
      </c>
      <c r="AJ19">
        <v>-2.9894036555175661E-2</v>
      </c>
      <c r="AK19">
        <v>1.1521241039282933E-3</v>
      </c>
      <c r="AL19">
        <v>0</v>
      </c>
      <c r="AM19">
        <v>-6.5366681908817482E-6</v>
      </c>
      <c r="AN19">
        <v>7.8346824795980343E-7</v>
      </c>
      <c r="AO19">
        <v>-6.7044388875253331E-6</v>
      </c>
      <c r="AP19">
        <v>-1.5714383904560781E-6</v>
      </c>
      <c r="AQ19">
        <v>-5.0388533732778983E-6</v>
      </c>
      <c r="AR19">
        <v>-1.6712071794093656E-6</v>
      </c>
    </row>
    <row r="20" spans="10:44" x14ac:dyDescent="0.25">
      <c r="J20" s="8">
        <v>0.37758919972088878</v>
      </c>
      <c r="K20">
        <v>0.22134878812781469</v>
      </c>
      <c r="L20">
        <v>0.10334081123900393</v>
      </c>
      <c r="M20" s="30">
        <v>0.40670848411604255</v>
      </c>
      <c r="N20" s="31">
        <v>0.44488763992013197</v>
      </c>
      <c r="O20" s="31">
        <v>0.47418776453652989</v>
      </c>
      <c r="P20" s="8"/>
      <c r="X20" s="8">
        <v>3.0199020372507508E-3</v>
      </c>
      <c r="Y20">
        <v>-8.6692213797898946E-4</v>
      </c>
      <c r="Z20" s="8">
        <v>0.49924502506445617</v>
      </c>
      <c r="AA20">
        <v>0</v>
      </c>
      <c r="AB20" s="8"/>
      <c r="AE20">
        <v>-5.0314971516453311E-5</v>
      </c>
      <c r="AF20" s="14">
        <v>0.49998742125712359</v>
      </c>
      <c r="AG20" s="14" t="b">
        <v>1</v>
      </c>
      <c r="AH20">
        <v>-0.1249968552351705</v>
      </c>
      <c r="AI20">
        <v>2.3007446217130105E-3</v>
      </c>
      <c r="AJ20">
        <v>-2.9894034794753895E-2</v>
      </c>
      <c r="AK20">
        <v>1.1521093153789856E-3</v>
      </c>
      <c r="AL20">
        <v>0</v>
      </c>
      <c r="AM20">
        <v>-6.5365842868652283E-6</v>
      </c>
      <c r="AN20">
        <v>7.8345819144004447E-7</v>
      </c>
      <c r="AO20">
        <v>-6.7043528300209979E-6</v>
      </c>
      <c r="AP20">
        <v>-1.5772561723551636E-6</v>
      </c>
      <c r="AQ20">
        <v>-5.0418084225355772E-6</v>
      </c>
      <c r="AR20">
        <v>-1.6716212882911989E-6</v>
      </c>
    </row>
    <row r="21" spans="10:44" x14ac:dyDescent="0.25">
      <c r="J21" s="8">
        <v>0.39850311296432783</v>
      </c>
      <c r="K21">
        <v>0.19930120508523108</v>
      </c>
      <c r="L21">
        <v>0.10875653644118763</v>
      </c>
      <c r="M21" s="30">
        <v>0.4016720361517373</v>
      </c>
      <c r="N21" s="31">
        <v>0.45033897202625556</v>
      </c>
      <c r="O21" s="31">
        <v>0.47283763361675485</v>
      </c>
      <c r="P21" s="8"/>
      <c r="X21" s="8">
        <v>3.0521837460447294E-3</v>
      </c>
      <c r="Y21">
        <v>-7.5876372221661439E-4</v>
      </c>
      <c r="Z21" s="8">
        <v>0.49923695465585516</v>
      </c>
      <c r="AA21">
        <v>0</v>
      </c>
      <c r="AB21" s="8"/>
      <c r="AE21">
        <v>-5.0166424185810535E-5</v>
      </c>
      <c r="AF21" s="14">
        <v>0.49998745839395614</v>
      </c>
      <c r="AG21" s="14" t="b">
        <v>1</v>
      </c>
      <c r="AH21">
        <v>-0.12499686451984508</v>
      </c>
      <c r="AI21">
        <v>2.3007447926106307E-3</v>
      </c>
      <c r="AJ21">
        <v>-2.989403701526084E-2</v>
      </c>
      <c r="AK21">
        <v>1.1521279689073825E-3</v>
      </c>
      <c r="AL21">
        <v>0</v>
      </c>
      <c r="AM21">
        <v>-6.5366901191495317E-6</v>
      </c>
      <c r="AN21">
        <v>7.8347087622561709E-7</v>
      </c>
      <c r="AO21">
        <v>-6.7044613786059523E-6</v>
      </c>
      <c r="AP21">
        <v>-1.5709732703777236E-6</v>
      </c>
      <c r="AQ21">
        <v>-5.0535505153728677E-6</v>
      </c>
      <c r="AR21">
        <v>-1.6711688322839606E-6</v>
      </c>
    </row>
    <row r="22" spans="10:44" x14ac:dyDescent="0.25">
      <c r="J22" s="8">
        <v>0.25341519406896235</v>
      </c>
      <c r="K22">
        <v>9.4148886084634884E-2</v>
      </c>
      <c r="L22">
        <v>7.208816108518655E-2</v>
      </c>
      <c r="M22" s="30">
        <v>0.43698308272958347</v>
      </c>
      <c r="N22" s="31">
        <v>0.47648014926748838</v>
      </c>
      <c r="O22" s="31">
        <v>0.4819857602741982</v>
      </c>
      <c r="P22" s="8"/>
      <c r="X22" s="8">
        <v>2.8696202427709134E-3</v>
      </c>
      <c r="Y22">
        <v>-1.3118748012870402E-3</v>
      </c>
      <c r="Z22" s="8">
        <v>0.4992825954316093</v>
      </c>
      <c r="AA22">
        <v>0</v>
      </c>
      <c r="AB22" s="8"/>
      <c r="AE22">
        <v>-5.1006507475503601E-5</v>
      </c>
      <c r="AF22" s="14">
        <v>0.49998724837313385</v>
      </c>
      <c r="AG22" s="14" t="b">
        <v>1</v>
      </c>
      <c r="AH22">
        <v>-0.12499681201198355</v>
      </c>
      <c r="AI22">
        <v>2.3007438261288759E-3</v>
      </c>
      <c r="AJ22">
        <v>-2.9894024457570195E-2</v>
      </c>
      <c r="AK22">
        <v>1.1520224771959995E-3</v>
      </c>
      <c r="AL22">
        <v>0</v>
      </c>
      <c r="AM22">
        <v>-6.5360916034932333E-6</v>
      </c>
      <c r="AN22">
        <v>7.8339913967743645E-7</v>
      </c>
      <c r="AO22">
        <v>-6.7038475013945508E-6</v>
      </c>
      <c r="AP22">
        <v>-1.6080672192519837E-6</v>
      </c>
      <c r="AQ22">
        <v>-5.092139965802108E-6</v>
      </c>
      <c r="AR22">
        <v>-1.6737863908046397E-6</v>
      </c>
    </row>
    <row r="23" spans="10:44" x14ac:dyDescent="0.25">
      <c r="J23" s="8">
        <v>5.8166620234560887E-2</v>
      </c>
      <c r="K23">
        <v>3.5423631378772302E-2</v>
      </c>
      <c r="L23">
        <v>2.2453087770426691E-2</v>
      </c>
      <c r="M23" s="30">
        <v>0.48546244352064255</v>
      </c>
      <c r="N23" s="31">
        <v>0.49114501809672134</v>
      </c>
      <c r="O23" s="31">
        <v>0.49438696386895298</v>
      </c>
      <c r="P23" s="8"/>
      <c r="X23" s="8">
        <v>2.6045411289257231E-3</v>
      </c>
      <c r="Y23">
        <v>-2.1386192707917749E-3</v>
      </c>
      <c r="Z23" s="8">
        <v>0.49934886508585696</v>
      </c>
      <c r="AA23">
        <v>0</v>
      </c>
      <c r="AB23" s="8"/>
      <c r="AE23">
        <v>-5.2226294567796205E-5</v>
      </c>
      <c r="AF23" s="14">
        <v>0.49998694342636096</v>
      </c>
      <c r="AG23" s="14" t="b">
        <v>1</v>
      </c>
      <c r="AH23">
        <v>-0.12499673577135541</v>
      </c>
      <c r="AI23">
        <v>2.3007424228118499E-3</v>
      </c>
      <c r="AJ23">
        <v>-2.9894006223991548E-2</v>
      </c>
      <c r="AK23">
        <v>1.1518693051258677E-3</v>
      </c>
      <c r="AL23">
        <v>0</v>
      </c>
      <c r="AM23">
        <v>-6.5352225695105683E-6</v>
      </c>
      <c r="AN23">
        <v>7.8329497949797891E-7</v>
      </c>
      <c r="AO23">
        <v>-6.7029561627097925E-6</v>
      </c>
      <c r="AP23">
        <v>-1.6324244848559479E-6</v>
      </c>
      <c r="AQ23">
        <v>-5.1011535111343428E-6</v>
      </c>
      <c r="AR23">
        <v>-1.6755278561701932E-6</v>
      </c>
    </row>
    <row r="24" spans="10:44" x14ac:dyDescent="0.25">
      <c r="J24" s="8">
        <v>0.34850614225138032</v>
      </c>
      <c r="K24">
        <v>0.21329259434262951</v>
      </c>
      <c r="L24">
        <v>9.5945051114839475E-2</v>
      </c>
      <c r="M24" s="30">
        <v>0.4137447245078808</v>
      </c>
      <c r="N24" s="31">
        <v>0.44687809169406001</v>
      </c>
      <c r="O24" s="31">
        <v>0.47603212066623696</v>
      </c>
      <c r="P24" s="8"/>
      <c r="X24" s="8">
        <v>2.9813349134163863E-3</v>
      </c>
      <c r="Y24">
        <v>-9.8740557143662611E-4</v>
      </c>
      <c r="Z24" s="8">
        <v>0.49925466682371145</v>
      </c>
      <c r="AA24">
        <v>0</v>
      </c>
      <c r="AB24" s="8"/>
      <c r="AE24">
        <v>-5.049244178727437E-5</v>
      </c>
      <c r="AF24" s="14">
        <v>0.49998737688955591</v>
      </c>
      <c r="AG24" s="14" t="b">
        <v>1</v>
      </c>
      <c r="AH24">
        <v>-0.12499684414271953</v>
      </c>
      <c r="AI24">
        <v>2.3007444175406986E-3</v>
      </c>
      <c r="AJ24">
        <v>-2.989403214190223E-2</v>
      </c>
      <c r="AK24">
        <v>1.152087029914903E-3</v>
      </c>
      <c r="AL24">
        <v>0</v>
      </c>
      <c r="AM24">
        <v>-6.5364578485035175E-6</v>
      </c>
      <c r="AN24">
        <v>7.8344303686299828E-7</v>
      </c>
      <c r="AO24">
        <v>-6.7042231464812536E-6</v>
      </c>
      <c r="AP24">
        <v>-1.5854833951573342E-6</v>
      </c>
      <c r="AQ24">
        <v>-5.04610897812211E-6</v>
      </c>
      <c r="AR24">
        <v>-1.6722044836884187E-6</v>
      </c>
    </row>
    <row r="25" spans="10:44" x14ac:dyDescent="0.25">
      <c r="J25" s="8">
        <v>0.21175105180817272</v>
      </c>
      <c r="K25">
        <v>0.10580837713246692</v>
      </c>
      <c r="L25">
        <v>6.1411923313229748E-2</v>
      </c>
      <c r="M25" s="30">
        <v>0.44725915832150243</v>
      </c>
      <c r="N25" s="31">
        <v>0.47357255662883135</v>
      </c>
      <c r="O25" s="31">
        <v>0.48465184256970584</v>
      </c>
      <c r="P25" s="8"/>
      <c r="X25" s="8">
        <v>2.8093408833491399E-3</v>
      </c>
      <c r="Y25">
        <v>-1.5063078662537373E-3</v>
      </c>
      <c r="Z25" s="8">
        <v>0.49929766524108793</v>
      </c>
      <c r="AA25">
        <v>0</v>
      </c>
      <c r="AB25" s="8"/>
      <c r="AE25">
        <v>-5.1283888718759232E-5</v>
      </c>
      <c r="AF25" s="14">
        <v>0.49998717902782303</v>
      </c>
      <c r="AG25" s="14" t="b">
        <v>1</v>
      </c>
      <c r="AH25">
        <v>-0.12499679467476921</v>
      </c>
      <c r="AI25">
        <v>2.3007435070128263E-3</v>
      </c>
      <c r="AJ25">
        <v>-2.9894020311231569E-2</v>
      </c>
      <c r="AK25">
        <v>1.1519876456427298E-3</v>
      </c>
      <c r="AL25">
        <v>0</v>
      </c>
      <c r="AM25">
        <v>-6.5358939838917337E-6</v>
      </c>
      <c r="AN25">
        <v>7.8337545349994837E-7</v>
      </c>
      <c r="AO25">
        <v>-6.7036448096710999E-6</v>
      </c>
      <c r="AP25">
        <v>-1.615793276921026E-6</v>
      </c>
      <c r="AQ25">
        <v>-5.0890214817000492E-6</v>
      </c>
      <c r="AR25">
        <v>-1.6743320520501874E-6</v>
      </c>
    </row>
    <row r="26" spans="10:44" x14ac:dyDescent="0.25">
      <c r="J26" s="8">
        <v>0.54086798378433676</v>
      </c>
      <c r="K26">
        <v>0.29441893180990436</v>
      </c>
      <c r="L26">
        <v>0.14476490015652846</v>
      </c>
      <c r="M26" s="30">
        <v>0.36798569022512007</v>
      </c>
      <c r="N26" s="31">
        <v>0.42692238522681819</v>
      </c>
      <c r="O26" s="31">
        <v>0.46387184736967429</v>
      </c>
      <c r="P26" s="8"/>
      <c r="X26" s="8">
        <v>3.2273821582334628E-3</v>
      </c>
      <c r="Y26">
        <v>-2.2598234536187626E-4</v>
      </c>
      <c r="Z26" s="8">
        <v>0.4991931551607825</v>
      </c>
      <c r="AA26">
        <v>0</v>
      </c>
      <c r="AB26" s="8"/>
      <c r="AE26">
        <v>-4.9360232281761562E-5</v>
      </c>
      <c r="AF26" s="14">
        <v>0.49998765994193206</v>
      </c>
      <c r="AG26" s="14" t="b">
        <v>1</v>
      </c>
      <c r="AH26">
        <v>-0.12499691490934638</v>
      </c>
      <c r="AI26">
        <v>2.3007457201009575E-3</v>
      </c>
      <c r="AJ26">
        <v>-2.989404906632806E-2</v>
      </c>
      <c r="AK26">
        <v>1.1522292048610941E-3</v>
      </c>
      <c r="AL26">
        <v>0</v>
      </c>
      <c r="AM26">
        <v>-6.5372644894245248E-6</v>
      </c>
      <c r="AN26">
        <v>7.8353971877045627E-7</v>
      </c>
      <c r="AO26">
        <v>-6.7050504907185839E-6</v>
      </c>
      <c r="AP26">
        <v>-1.5203861282030069E-6</v>
      </c>
      <c r="AQ26">
        <v>-4.9953125243257659E-6</v>
      </c>
      <c r="AR26">
        <v>-1.6675108996962888E-6</v>
      </c>
    </row>
    <row r="27" spans="10:44" x14ac:dyDescent="0.25">
      <c r="J27" s="8">
        <v>0.21055321199658297</v>
      </c>
      <c r="K27">
        <v>6.8355405957170268E-2</v>
      </c>
      <c r="L27">
        <v>6.1237130125310228E-2</v>
      </c>
      <c r="M27" s="30">
        <v>0.44755530504119789</v>
      </c>
      <c r="N27" s="31">
        <v>0.48291779931991513</v>
      </c>
      <c r="O27" s="31">
        <v>0.48469549980837517</v>
      </c>
      <c r="P27" s="8"/>
      <c r="X27" s="8">
        <v>2.8140156298084068E-3</v>
      </c>
      <c r="Y27">
        <v>-1.4818646861787894E-3</v>
      </c>
      <c r="Z27" s="8">
        <v>0.49929649655678293</v>
      </c>
      <c r="AA27">
        <v>0</v>
      </c>
      <c r="AB27" s="8"/>
      <c r="AE27">
        <v>-5.1262377424541108E-5</v>
      </c>
      <c r="AF27" s="14">
        <v>0.4999871844056466</v>
      </c>
      <c r="AG27" s="14" t="b">
        <v>1</v>
      </c>
      <c r="AH27">
        <v>-0.12499679601929402</v>
      </c>
      <c r="AI27">
        <v>2.3007435317607145E-3</v>
      </c>
      <c r="AJ27">
        <v>-2.9894020632785831E-2</v>
      </c>
      <c r="AK27">
        <v>1.1519903468769101E-3</v>
      </c>
      <c r="AL27">
        <v>0</v>
      </c>
      <c r="AM27">
        <v>-6.5359093095597602E-6</v>
      </c>
      <c r="AN27">
        <v>7.8337729039512603E-7</v>
      </c>
      <c r="AO27">
        <v>-6.7036605286890611E-6</v>
      </c>
      <c r="AP27">
        <v>-1.6160006615814541E-6</v>
      </c>
      <c r="AQ27">
        <v>-5.0973335728412965E-6</v>
      </c>
      <c r="AR27">
        <v>-1.6743449490099805E-6</v>
      </c>
    </row>
    <row r="28" spans="10:44" x14ac:dyDescent="0.25">
      <c r="J28" s="8">
        <v>0.24475499716462751</v>
      </c>
      <c r="K28">
        <v>0.16135213436887164</v>
      </c>
      <c r="L28">
        <v>6.9642488265973967E-2</v>
      </c>
      <c r="M28" s="30">
        <v>0.43911489125906328</v>
      </c>
      <c r="N28" s="31">
        <v>0.45974925424769653</v>
      </c>
      <c r="O28" s="31">
        <v>0.48259641142583071</v>
      </c>
      <c r="P28" s="8"/>
      <c r="X28" s="8">
        <v>2.8461479016234185E-3</v>
      </c>
      <c r="Y28">
        <v>-1.4036041017637547E-3</v>
      </c>
      <c r="Z28" s="8">
        <v>0.49928846350491429</v>
      </c>
      <c r="AA28">
        <v>0</v>
      </c>
      <c r="AB28" s="8"/>
      <c r="AE28">
        <v>-5.1114517697606679E-5</v>
      </c>
      <c r="AF28" s="14">
        <v>0.49998722137057838</v>
      </c>
      <c r="AG28" s="14" t="b">
        <v>1</v>
      </c>
      <c r="AH28">
        <v>-0.124996805261</v>
      </c>
      <c r="AI28">
        <v>2.3007437018674371E-3</v>
      </c>
      <c r="AJ28">
        <v>-2.9894022843016479E-2</v>
      </c>
      <c r="AK28">
        <v>1.1520089140434357E-3</v>
      </c>
      <c r="AL28">
        <v>0</v>
      </c>
      <c r="AM28">
        <v>-6.5360146518630847E-6</v>
      </c>
      <c r="AN28">
        <v>7.8338991645283794E-7</v>
      </c>
      <c r="AO28">
        <v>-6.7037685747171419E-6</v>
      </c>
      <c r="AP28">
        <v>-1.6097746797470045E-6</v>
      </c>
      <c r="AQ28">
        <v>-5.0703000628839932E-6</v>
      </c>
      <c r="AR28">
        <v>-1.6739116734366919E-6</v>
      </c>
    </row>
    <row r="29" spans="10:44" x14ac:dyDescent="0.25">
      <c r="J29" s="8">
        <v>0.29355412806598519</v>
      </c>
      <c r="K29">
        <v>0.10990777393617657</v>
      </c>
      <c r="L29">
        <v>8.2279180404402616E-2</v>
      </c>
      <c r="M29" s="30">
        <v>0.42713398117790125</v>
      </c>
      <c r="N29" s="31">
        <v>0.47255068262403999</v>
      </c>
      <c r="O29" s="31">
        <v>0.47944180160695232</v>
      </c>
      <c r="P29" s="8"/>
      <c r="X29" s="8">
        <v>2.9228277889597931E-3</v>
      </c>
      <c r="Y29">
        <v>-1.1469082447524508E-3</v>
      </c>
      <c r="Z29" s="8">
        <v>0.4992692935729573</v>
      </c>
      <c r="AA29">
        <v>0</v>
      </c>
      <c r="AB29" s="8"/>
      <c r="AE29">
        <v>-5.076166787778072E-5</v>
      </c>
      <c r="AF29" s="14">
        <v>0.49998730958303328</v>
      </c>
      <c r="AG29" s="14" t="b">
        <v>1</v>
      </c>
      <c r="AH29">
        <v>-0.12499682731523702</v>
      </c>
      <c r="AI29">
        <v>2.3007441078069873E-3</v>
      </c>
      <c r="AJ29">
        <v>-2.9894028117470203E-2</v>
      </c>
      <c r="AK29">
        <v>1.152053222410049E-3</v>
      </c>
      <c r="AL29">
        <v>0</v>
      </c>
      <c r="AM29">
        <v>-6.5362660389225547E-6</v>
      </c>
      <c r="AN29">
        <v>7.8342004705963808E-7</v>
      </c>
      <c r="AO29">
        <v>-6.7040264138988338E-6</v>
      </c>
      <c r="AP29">
        <v>-1.5993624882239498E-6</v>
      </c>
      <c r="AQ29">
        <v>-5.0881872604429175E-6</v>
      </c>
      <c r="AR29">
        <v>-1.6731732169612411E-6</v>
      </c>
    </row>
    <row r="30" spans="10:44" x14ac:dyDescent="0.25">
      <c r="J30" s="8">
        <v>0.26038649848344197</v>
      </c>
      <c r="K30">
        <v>8.6799691737107026E-2</v>
      </c>
      <c r="L30">
        <v>7.3893402819247792E-2</v>
      </c>
      <c r="M30" s="30">
        <v>0.43526870068352774</v>
      </c>
      <c r="N30" s="31">
        <v>0.47831369108093824</v>
      </c>
      <c r="O30" s="31">
        <v>0.48153505044430306</v>
      </c>
      <c r="P30" s="8"/>
      <c r="X30" s="8">
        <v>2.8805937727374407E-3</v>
      </c>
      <c r="Y30">
        <v>-1.2751387047052266E-3</v>
      </c>
      <c r="Z30" s="8">
        <v>0.49927985205478714</v>
      </c>
      <c r="AA30">
        <v>0</v>
      </c>
      <c r="AB30" s="8"/>
      <c r="AE30">
        <v>-5.0956011729373987E-5</v>
      </c>
      <c r="AF30" s="14">
        <v>0.49998726099707042</v>
      </c>
      <c r="AG30" s="14" t="b">
        <v>1</v>
      </c>
      <c r="AH30">
        <v>-0.12499681516812858</v>
      </c>
      <c r="AI30">
        <v>2.3007438842222068E-3</v>
      </c>
      <c r="AJ30">
        <v>-2.9894025212388459E-2</v>
      </c>
      <c r="AK30">
        <v>1.1520288180917868E-3</v>
      </c>
      <c r="AL30">
        <v>0</v>
      </c>
      <c r="AM30">
        <v>-6.5361275790723004E-6</v>
      </c>
      <c r="AN30">
        <v>7.8340345161787423E-7</v>
      </c>
      <c r="AO30">
        <v>-6.7038844003259709E-6</v>
      </c>
      <c r="AP30">
        <v>-1.6066445978909646E-6</v>
      </c>
      <c r="AQ30">
        <v>-5.0938600436558793E-6</v>
      </c>
      <c r="AR30">
        <v>-1.6736853814522249E-6</v>
      </c>
    </row>
    <row r="31" spans="10:44" x14ac:dyDescent="0.25">
      <c r="J31" s="8">
        <v>0.91862036243577005</v>
      </c>
      <c r="K31">
        <v>0.46402080109198185</v>
      </c>
      <c r="L31">
        <v>0.24059935650584524</v>
      </c>
      <c r="M31" s="30">
        <v>0.28523908834234801</v>
      </c>
      <c r="N31" s="31">
        <v>0.38603241260121235</v>
      </c>
      <c r="O31" s="31">
        <v>0.44013865403422253</v>
      </c>
      <c r="P31" s="8"/>
      <c r="X31" s="8">
        <v>3.6690455897019831E-3</v>
      </c>
      <c r="Y31">
        <v>1.1376398407581707E-3</v>
      </c>
      <c r="Z31" s="8">
        <v>0.49908273963157951</v>
      </c>
      <c r="AA31">
        <v>0.49971559007048466</v>
      </c>
      <c r="AB31" s="8"/>
      <c r="AE31">
        <v>0.11946380069386345</v>
      </c>
      <c r="AF31" s="14">
        <v>0.52983048121874277</v>
      </c>
      <c r="AG31" s="14" t="b">
        <v>1</v>
      </c>
      <c r="AH31">
        <v>0.11712399577115817</v>
      </c>
      <c r="AI31">
        <v>-2.1558334634662699E-3</v>
      </c>
      <c r="AJ31">
        <v>2.8011175147536378E-2</v>
      </c>
      <c r="AK31">
        <v>-1.079894192330087E-3</v>
      </c>
      <c r="AL31">
        <v>1.4013554230117544E-2</v>
      </c>
      <c r="AM31">
        <v>-2.4219199769296869E-4</v>
      </c>
      <c r="AN31">
        <v>4.3864103027872934E-5</v>
      </c>
      <c r="AO31">
        <v>-9.9497203150421364E-6</v>
      </c>
      <c r="AP31">
        <v>3.1919861280753937E-6</v>
      </c>
      <c r="AQ31">
        <v>1.5105702122605424E-5</v>
      </c>
      <c r="AR31">
        <v>-2.4517764426069227E-6</v>
      </c>
    </row>
    <row r="32" spans="10:44" x14ac:dyDescent="0.25">
      <c r="J32" s="8">
        <v>0.83970401847940246</v>
      </c>
      <c r="K32">
        <v>0.43752032152685999</v>
      </c>
      <c r="L32">
        <v>0.22054732368774321</v>
      </c>
      <c r="M32" s="30">
        <v>0.30159712478823431</v>
      </c>
      <c r="N32" s="31">
        <v>0.39233198535008923</v>
      </c>
      <c r="O32" s="31">
        <v>0.4450855804168678</v>
      </c>
      <c r="P32" s="8"/>
      <c r="X32" s="8">
        <v>3.5805208023731703E-3</v>
      </c>
      <c r="Y32">
        <v>8.6209479602085816E-4</v>
      </c>
      <c r="Z32" s="8">
        <v>0.49910487075571264</v>
      </c>
      <c r="AA32">
        <v>0.49978447631434297</v>
      </c>
      <c r="AB32" s="8"/>
      <c r="AE32">
        <v>0.11947986805573572</v>
      </c>
      <c r="AF32" s="14">
        <v>0.52983448375962805</v>
      </c>
      <c r="AG32" s="14" t="b">
        <v>1</v>
      </c>
      <c r="AH32">
        <v>0.11712288641671413</v>
      </c>
      <c r="AI32">
        <v>-2.1558130442223943E-3</v>
      </c>
      <c r="AJ32">
        <v>2.8010909836218845E-2</v>
      </c>
      <c r="AK32">
        <v>-1.0798362534122968E-3</v>
      </c>
      <c r="AL32">
        <v>1.4011491932635931E-2</v>
      </c>
      <c r="AM32">
        <v>-2.4215578269652801E-4</v>
      </c>
      <c r="AN32">
        <v>4.3857579119135266E-5</v>
      </c>
      <c r="AO32">
        <v>-9.94766842856126E-6</v>
      </c>
      <c r="AP32">
        <v>3.2974358434444476E-6</v>
      </c>
      <c r="AQ32">
        <v>1.5192878743671231E-5</v>
      </c>
      <c r="AR32">
        <v>-2.456918983104324E-6</v>
      </c>
    </row>
    <row r="33" spans="10:44" x14ac:dyDescent="0.25">
      <c r="J33" s="8">
        <v>0.77881485546502915</v>
      </c>
      <c r="K33">
        <v>0.41137334168056672</v>
      </c>
      <c r="L33">
        <v>0.20509579179875403</v>
      </c>
      <c r="M33" s="30">
        <v>0.31457536803414793</v>
      </c>
      <c r="N33" s="31">
        <v>0.39858286534123089</v>
      </c>
      <c r="O33" s="31">
        <v>0.4489050327102338</v>
      </c>
      <c r="P33" s="8"/>
      <c r="X33" s="8">
        <v>3.5111384298217507E-3</v>
      </c>
      <c r="Y33">
        <v>6.4759051254208481E-4</v>
      </c>
      <c r="Z33" s="8">
        <v>0.49912221629432768</v>
      </c>
      <c r="AA33">
        <v>0.49983810237752241</v>
      </c>
      <c r="AB33" s="8"/>
      <c r="AE33">
        <v>0.11949237390431064</v>
      </c>
      <c r="AF33" s="14">
        <v>0.52983759908919836</v>
      </c>
      <c r="AG33" s="14" t="b">
        <v>1</v>
      </c>
      <c r="AH33">
        <v>0.11712202295491923</v>
      </c>
      <c r="AI33">
        <v>-2.155797150981905E-3</v>
      </c>
      <c r="AJ33">
        <v>2.8010703332168069E-2</v>
      </c>
      <c r="AK33">
        <v>-1.0797908991028193E-3</v>
      </c>
      <c r="AL33">
        <v>1.4009886532357437E-2</v>
      </c>
      <c r="AM33">
        <v>-2.4212759247579794E-4</v>
      </c>
      <c r="AN33">
        <v>4.3852500738291089E-5</v>
      </c>
      <c r="AO33">
        <v>-9.9460725970003201E-6</v>
      </c>
      <c r="AP33">
        <v>3.3751271084968761E-6</v>
      </c>
      <c r="AQ33">
        <v>1.5274749699277108E-5</v>
      </c>
      <c r="AR33">
        <v>-2.4605519804648289E-6</v>
      </c>
    </row>
    <row r="34" spans="10:44" x14ac:dyDescent="0.25">
      <c r="J34" s="8">
        <v>0.9074008016821673</v>
      </c>
      <c r="K34">
        <v>0.48875378206296055</v>
      </c>
      <c r="L34">
        <v>0.23764888467838302</v>
      </c>
      <c r="M34" s="30">
        <v>0.28753200794436562</v>
      </c>
      <c r="N34" s="31">
        <v>0.38018718866650125</v>
      </c>
      <c r="O34" s="31">
        <v>0.44086582723240381</v>
      </c>
      <c r="P34" s="8"/>
      <c r="X34" s="8">
        <v>3.6520616537569742E-3</v>
      </c>
      <c r="Y34">
        <v>1.0775645781623635E-3</v>
      </c>
      <c r="Z34" s="8">
        <v>0.49908698560134207</v>
      </c>
      <c r="AA34">
        <v>0.49973060888152621</v>
      </c>
      <c r="AB34" s="8"/>
      <c r="AE34">
        <v>0.1194673144140041</v>
      </c>
      <c r="AF34" s="14">
        <v>0.52983135652197555</v>
      </c>
      <c r="AG34" s="14" t="b">
        <v>1</v>
      </c>
      <c r="AH34">
        <v>0.11712375317100455</v>
      </c>
      <c r="AI34">
        <v>-2.1558289980659396E-3</v>
      </c>
      <c r="AJ34">
        <v>2.801111712769724E-2</v>
      </c>
      <c r="AK34">
        <v>-1.0798828019492484E-3</v>
      </c>
      <c r="AL34">
        <v>1.4013104510021352E-2</v>
      </c>
      <c r="AM34">
        <v>-2.421840933193732E-4</v>
      </c>
      <c r="AN34">
        <v>4.3862679529185228E-5</v>
      </c>
      <c r="AO34">
        <v>-9.9492656249115375E-6</v>
      </c>
      <c r="AP34">
        <v>3.2072472470421165E-6</v>
      </c>
      <c r="AQ34">
        <v>1.5018224756816769E-5</v>
      </c>
      <c r="AR34">
        <v>-2.4525253128580644E-6</v>
      </c>
    </row>
    <row r="35" spans="10:44" x14ac:dyDescent="0.25">
      <c r="J35" s="8">
        <v>1.1701824744932448</v>
      </c>
      <c r="K35">
        <v>0.63114817234225895</v>
      </c>
      <c r="L35">
        <v>0.30423030635137205</v>
      </c>
      <c r="M35" s="30">
        <v>0.23682200273450746</v>
      </c>
      <c r="N35" s="31">
        <v>0.34725023881742317</v>
      </c>
      <c r="O35" s="31">
        <v>0.42452367674225255</v>
      </c>
      <c r="P35" s="8"/>
      <c r="X35" s="8">
        <v>3.9173711135461736E-3</v>
      </c>
      <c r="Y35">
        <v>1.8902498899018869E-3</v>
      </c>
      <c r="Z35" s="8">
        <v>0.49902065847401117</v>
      </c>
      <c r="AA35">
        <v>0.49952743766823177</v>
      </c>
      <c r="AB35" s="8"/>
      <c r="AE35">
        <v>0.11941994517797895</v>
      </c>
      <c r="AF35" s="14">
        <v>0.5298195563506457</v>
      </c>
      <c r="AG35" s="14" t="b">
        <v>1</v>
      </c>
      <c r="AH35">
        <v>0.11712702366852738</v>
      </c>
      <c r="AI35">
        <v>-2.1558891962170992E-3</v>
      </c>
      <c r="AJ35">
        <v>2.8011899294309032E-2</v>
      </c>
      <c r="AK35">
        <v>-1.0800559499238359E-3</v>
      </c>
      <c r="AL35">
        <v>1.4019187015602293E-2</v>
      </c>
      <c r="AM35">
        <v>-2.4229089237764892E-4</v>
      </c>
      <c r="AN35">
        <v>4.3881919496625211E-5</v>
      </c>
      <c r="AO35">
        <v>-9.9553042503615655E-6</v>
      </c>
      <c r="AP35">
        <v>2.8305494196334765E-6</v>
      </c>
      <c r="AQ35">
        <v>1.4451157620977022E-5</v>
      </c>
      <c r="AR35">
        <v>-2.4321139260415324E-6</v>
      </c>
    </row>
    <row r="36" spans="10:44" x14ac:dyDescent="0.25">
      <c r="J36" s="8">
        <v>0.96268018431973923</v>
      </c>
      <c r="K36">
        <v>0.52726725239474315</v>
      </c>
      <c r="L36">
        <v>0.25162518065364109</v>
      </c>
      <c r="M36" s="30">
        <v>0.27634189835313061</v>
      </c>
      <c r="N36" s="31">
        <v>0.37115448323852179</v>
      </c>
      <c r="O36" s="31">
        <v>0.43742352726914285</v>
      </c>
      <c r="P36" s="8"/>
      <c r="X36" s="8">
        <v>3.7094072081952853E-3</v>
      </c>
      <c r="Y36">
        <v>1.2510931712281896E-3</v>
      </c>
      <c r="Z36" s="8">
        <v>0.49907264926129014</v>
      </c>
      <c r="AA36">
        <v>0.49968722674798993</v>
      </c>
      <c r="AB36" s="8"/>
      <c r="AE36">
        <v>0.11945720309760532</v>
      </c>
      <c r="AF36" s="14">
        <v>0.529828837690276</v>
      </c>
      <c r="AG36" s="14" t="b">
        <v>1</v>
      </c>
      <c r="AH36">
        <v>0.11712445129189213</v>
      </c>
      <c r="AI36">
        <v>-2.1558418479722379E-3</v>
      </c>
      <c r="AJ36">
        <v>2.8011284089098507E-2</v>
      </c>
      <c r="AK36">
        <v>-1.0799201455163776E-3</v>
      </c>
      <c r="AL36">
        <v>1.401440322496678E-2</v>
      </c>
      <c r="AM36">
        <v>-2.4220689455441624E-4</v>
      </c>
      <c r="AN36">
        <v>4.3866787324487842E-5</v>
      </c>
      <c r="AO36">
        <v>-9.9505527965132947E-6</v>
      </c>
      <c r="AP36">
        <v>3.1310602562730743E-6</v>
      </c>
      <c r="AQ36">
        <v>1.487619715495948E-5</v>
      </c>
      <c r="AR36">
        <v>-2.4486736758320928E-6</v>
      </c>
    </row>
    <row r="37" spans="10:44" x14ac:dyDescent="0.25">
      <c r="J37" s="8">
        <v>1.2116829325279459</v>
      </c>
      <c r="K37">
        <v>0.65192435633176204</v>
      </c>
      <c r="L37">
        <v>0.31475133149091822</v>
      </c>
      <c r="M37" s="30">
        <v>0.2294034108982746</v>
      </c>
      <c r="N37" s="31">
        <v>0.34255601914377476</v>
      </c>
      <c r="O37" s="31">
        <v>0.42195541843645035</v>
      </c>
      <c r="P37" s="8"/>
      <c r="X37" s="8">
        <v>3.9562689207016562E-3</v>
      </c>
      <c r="Y37">
        <v>2.0097423485526916E-3</v>
      </c>
      <c r="Z37" s="8">
        <v>0.49901093405990116</v>
      </c>
      <c r="AA37">
        <v>0.49949756458197597</v>
      </c>
      <c r="AB37" s="8"/>
      <c r="AE37">
        <v>0.11941297977325051</v>
      </c>
      <c r="AF37" s="14">
        <v>0.52981782119278242</v>
      </c>
      <c r="AG37" s="14" t="b">
        <v>1</v>
      </c>
      <c r="AH37">
        <v>0.11712750456965679</v>
      </c>
      <c r="AI37">
        <v>-2.1558980478852872E-3</v>
      </c>
      <c r="AJ37">
        <v>2.8012014305803266E-2</v>
      </c>
      <c r="AK37">
        <v>-1.0800813492721326E-3</v>
      </c>
      <c r="AL37">
        <v>1.4020081381019065E-2</v>
      </c>
      <c r="AM37">
        <v>-2.4230659634353263E-4</v>
      </c>
      <c r="AN37">
        <v>4.3884748562719266E-5</v>
      </c>
      <c r="AO37">
        <v>-9.9561925137325479E-6</v>
      </c>
      <c r="AP37">
        <v>2.768666626410172E-6</v>
      </c>
      <c r="AQ37">
        <v>1.4359065424677976E-5</v>
      </c>
      <c r="AR37">
        <v>-2.4284053908213333E-6</v>
      </c>
    </row>
    <row r="38" spans="10:44" x14ac:dyDescent="0.25">
      <c r="J38" s="8">
        <v>1.1757922548700463</v>
      </c>
      <c r="K38">
        <v>0.61878168185676952</v>
      </c>
      <c r="L38">
        <v>0.30570554226510316</v>
      </c>
      <c r="M38" s="30">
        <v>0.23580960327332531</v>
      </c>
      <c r="N38" s="31">
        <v>0.35005858955293179</v>
      </c>
      <c r="O38" s="31">
        <v>0.42416331189423595</v>
      </c>
      <c r="P38" s="8"/>
      <c r="X38" s="8">
        <v>3.9250247794617764E-3</v>
      </c>
      <c r="Y38">
        <v>1.9175446134235353E-3</v>
      </c>
      <c r="Z38" s="8">
        <v>0.49901874506488725</v>
      </c>
      <c r="AA38">
        <v>0.49952061399353503</v>
      </c>
      <c r="AB38" s="8"/>
      <c r="AE38">
        <v>0.11941834845858401</v>
      </c>
      <c r="AF38" s="14">
        <v>0.52981915859059037</v>
      </c>
      <c r="AG38" s="14" t="b">
        <v>1</v>
      </c>
      <c r="AH38">
        <v>0.11712713390843284</v>
      </c>
      <c r="AI38">
        <v>-2.1558912253391051E-3</v>
      </c>
      <c r="AJ38">
        <v>2.8011925659096874E-2</v>
      </c>
      <c r="AK38">
        <v>-1.0800610915739828E-3</v>
      </c>
      <c r="AL38">
        <v>1.4019391354723543E-2</v>
      </c>
      <c r="AM38">
        <v>-2.4229448407610688E-4</v>
      </c>
      <c r="AN38">
        <v>4.3882566314073867E-5</v>
      </c>
      <c r="AO38">
        <v>-9.9555110443584292E-6</v>
      </c>
      <c r="AP38">
        <v>2.8222181268513695E-6</v>
      </c>
      <c r="AQ38">
        <v>1.4505521962111612E-5</v>
      </c>
      <c r="AR38">
        <v>-2.4316215934879444E-6</v>
      </c>
    </row>
    <row r="39" spans="10:44" x14ac:dyDescent="0.25">
      <c r="J39" s="8">
        <v>1.2989321049364713</v>
      </c>
      <c r="K39">
        <v>0.67609293768731749</v>
      </c>
      <c r="L39">
        <v>0.33693861186341156</v>
      </c>
      <c r="M39" s="30">
        <v>0.21434479680715607</v>
      </c>
      <c r="N39" s="31">
        <v>0.33713387553010987</v>
      </c>
      <c r="O39" s="31">
        <v>0.41655331598046075</v>
      </c>
      <c r="P39" s="8"/>
      <c r="X39" s="8">
        <v>4.0380180014212242E-3</v>
      </c>
      <c r="Y39">
        <v>2.2655814828158741E-3</v>
      </c>
      <c r="Z39" s="8">
        <v>0.49899049687135627</v>
      </c>
      <c r="AA39">
        <v>0.49943360487156491</v>
      </c>
      <c r="AB39" s="8"/>
      <c r="AE39">
        <v>0.11939805945342843</v>
      </c>
      <c r="AF39" s="14">
        <v>0.52981410437686649</v>
      </c>
      <c r="AG39" s="14" t="b">
        <v>1</v>
      </c>
      <c r="AH39">
        <v>0.11712853468142599</v>
      </c>
      <c r="AI39">
        <v>-2.1559170085552041E-3</v>
      </c>
      <c r="AJ39">
        <v>2.8012260665577781E-2</v>
      </c>
      <c r="AK39">
        <v>-1.0801349092428346E-3</v>
      </c>
      <c r="AL39">
        <v>1.4021996340766328E-2</v>
      </c>
      <c r="AM39">
        <v>-2.4234022537347638E-4</v>
      </c>
      <c r="AN39">
        <v>4.3890806543558057E-5</v>
      </c>
      <c r="AO39">
        <v>-9.9580992004901281E-6</v>
      </c>
      <c r="AP39">
        <v>2.6377472725873247E-6</v>
      </c>
      <c r="AQ39">
        <v>1.4249906359737487E-5</v>
      </c>
      <c r="AR39">
        <v>-2.4201830792774247E-6</v>
      </c>
    </row>
    <row r="40" spans="10:44" x14ac:dyDescent="0.25">
      <c r="J40" s="8">
        <v>0.95843192798061605</v>
      </c>
      <c r="K40">
        <v>0.54465103901819389</v>
      </c>
      <c r="L40">
        <v>0.25047995056024008</v>
      </c>
      <c r="M40" s="30">
        <v>0.27719225883563048</v>
      </c>
      <c r="N40" s="31">
        <v>0.36710629689651669</v>
      </c>
      <c r="O40" s="31">
        <v>0.43770537045071928</v>
      </c>
      <c r="P40" s="8"/>
      <c r="X40" s="8">
        <v>3.7018297694907582E-3</v>
      </c>
      <c r="Y40">
        <v>1.2228149208161213E-3</v>
      </c>
      <c r="Z40" s="8">
        <v>0.49907454361446302</v>
      </c>
      <c r="AA40">
        <v>0.49969429630788864</v>
      </c>
      <c r="AB40" s="8"/>
      <c r="AE40">
        <v>0.11945885897323781</v>
      </c>
      <c r="AF40" s="14">
        <v>0.5298292501858326</v>
      </c>
      <c r="AG40" s="14" t="b">
        <v>1</v>
      </c>
      <c r="AH40">
        <v>0.11712433696473572</v>
      </c>
      <c r="AI40">
        <v>-2.1558397436185748E-3</v>
      </c>
      <c r="AJ40">
        <v>2.8011256746810695E-2</v>
      </c>
      <c r="AK40">
        <v>-1.0799150074662137E-3</v>
      </c>
      <c r="AL40">
        <v>1.4014191518013527E-2</v>
      </c>
      <c r="AM40">
        <v>-2.4220317227824299E-4</v>
      </c>
      <c r="AN40">
        <v>4.3866117056299051E-5</v>
      </c>
      <c r="AO40">
        <v>-9.950337446388074E-6</v>
      </c>
      <c r="AP40">
        <v>3.1369698965778864E-6</v>
      </c>
      <c r="AQ40">
        <v>1.4808485449006153E-5</v>
      </c>
      <c r="AR40">
        <v>-2.4489708744322356E-6</v>
      </c>
    </row>
    <row r="41" spans="10:44" x14ac:dyDescent="0.25">
      <c r="J41" s="8">
        <v>1.0358230636732169</v>
      </c>
      <c r="K41">
        <v>0.59856989748268952</v>
      </c>
      <c r="L41">
        <v>0.27004676492560137</v>
      </c>
      <c r="M41" s="30">
        <v>0.26195674028441451</v>
      </c>
      <c r="N41" s="31">
        <v>0.35467094680456329</v>
      </c>
      <c r="O41" s="31">
        <v>0.43289561434951274</v>
      </c>
      <c r="P41" s="8"/>
      <c r="X41" s="8">
        <v>3.7798134061750965E-3</v>
      </c>
      <c r="Y41">
        <v>1.4587829004200168E-3</v>
      </c>
      <c r="Z41" s="8">
        <v>0.49905504777349946</v>
      </c>
      <c r="AA41">
        <v>0.49963530433956915</v>
      </c>
      <c r="AB41" s="8"/>
      <c r="AE41">
        <v>0.11944510940330602</v>
      </c>
      <c r="AF41" s="14">
        <v>0.52982582502609454</v>
      </c>
      <c r="AG41" s="14" t="b">
        <v>1</v>
      </c>
      <c r="AH41">
        <v>0.11712528627684222</v>
      </c>
      <c r="AI41">
        <v>-2.1558572170559606E-3</v>
      </c>
      <c r="AJ41">
        <v>2.8011483782675633E-2</v>
      </c>
      <c r="AK41">
        <v>-1.0799657906052547E-3</v>
      </c>
      <c r="AL41">
        <v>1.4015957557915588E-2</v>
      </c>
      <c r="AM41">
        <v>-2.4223417821710438E-4</v>
      </c>
      <c r="AN41">
        <v>4.387170298466372E-5</v>
      </c>
      <c r="AO41">
        <v>-9.9520877776167052E-6</v>
      </c>
      <c r="AP41">
        <v>3.027325759273303E-6</v>
      </c>
      <c r="AQ41">
        <v>1.4589462533870292E-5</v>
      </c>
      <c r="AR41">
        <v>-2.4432077073379296E-6</v>
      </c>
    </row>
    <row r="42" spans="10:44" x14ac:dyDescent="0.25">
      <c r="J42" s="8">
        <v>1.0004234386935824</v>
      </c>
      <c r="K42">
        <v>0.46812019789569154</v>
      </c>
      <c r="L42">
        <v>0.26146661359701806</v>
      </c>
      <c r="M42" s="30">
        <v>0.26885817641569942</v>
      </c>
      <c r="N42" s="31">
        <v>0.38506126394968815</v>
      </c>
      <c r="O42" s="31">
        <v>0.43500321632762384</v>
      </c>
      <c r="P42" s="8"/>
      <c r="X42" s="8">
        <v>3.7613236016223535E-3</v>
      </c>
      <c r="Y42">
        <v>1.4307664458793612E-3</v>
      </c>
      <c r="Z42" s="8">
        <v>0.49905967020820818</v>
      </c>
      <c r="AA42">
        <v>0.49964230844954916</v>
      </c>
      <c r="AB42" s="8"/>
      <c r="AE42">
        <v>0.11944669941183286</v>
      </c>
      <c r="AF42" s="14">
        <v>0.52982622111376798</v>
      </c>
      <c r="AG42" s="14" t="b">
        <v>1</v>
      </c>
      <c r="AH42">
        <v>0.11712517649827264</v>
      </c>
      <c r="AI42">
        <v>-2.1558551964254969E-3</v>
      </c>
      <c r="AJ42">
        <v>2.8011457528220089E-2</v>
      </c>
      <c r="AK42">
        <v>-1.0799548130807366E-3</v>
      </c>
      <c r="AL42">
        <v>1.4015748225783702E-2</v>
      </c>
      <c r="AM42">
        <v>-2.4223053115326698E-4</v>
      </c>
      <c r="AN42">
        <v>4.3871044245361146E-5</v>
      </c>
      <c r="AO42">
        <v>-9.9519091596362474E-6</v>
      </c>
      <c r="AP42">
        <v>3.0779882740893095E-6</v>
      </c>
      <c r="AQ42">
        <v>1.5093441628735422E-5</v>
      </c>
      <c r="AR42">
        <v>-2.4459346347246928E-6</v>
      </c>
    </row>
    <row r="43" spans="10:44" x14ac:dyDescent="0.25">
      <c r="J43" s="8">
        <v>1.311349505501664</v>
      </c>
      <c r="K43">
        <v>0.68881292789163551</v>
      </c>
      <c r="L43">
        <v>0.34006387687879336</v>
      </c>
      <c r="M43" s="30">
        <v>0.21226111063896985</v>
      </c>
      <c r="N43" s="31">
        <v>0.33429719535430863</v>
      </c>
      <c r="O43" s="31">
        <v>0.41579396069048113</v>
      </c>
      <c r="P43" s="8"/>
      <c r="X43" s="8">
        <v>4.0479109601824752E-3</v>
      </c>
      <c r="Y43">
        <v>2.2943560733135054E-3</v>
      </c>
      <c r="Z43" s="8">
        <v>0.49898802364177253</v>
      </c>
      <c r="AA43">
        <v>0.49942641123328912</v>
      </c>
      <c r="AB43" s="8"/>
      <c r="AE43">
        <v>0.1193963845584652</v>
      </c>
      <c r="AF43" s="14">
        <v>0.52981368714188681</v>
      </c>
      <c r="AG43" s="14" t="b">
        <v>1</v>
      </c>
      <c r="AH43">
        <v>0.11712865031697016</v>
      </c>
      <c r="AI43">
        <v>-2.1559191369916022E-3</v>
      </c>
      <c r="AJ43">
        <v>2.8012288320777384E-2</v>
      </c>
      <c r="AK43">
        <v>-1.0801413076926868E-3</v>
      </c>
      <c r="AL43">
        <v>1.4022211694299356E-2</v>
      </c>
      <c r="AM43">
        <v>-2.4234400511572213E-4</v>
      </c>
      <c r="AN43">
        <v>4.3891487559971614E-5</v>
      </c>
      <c r="AO43">
        <v>-9.9583114404372943E-6</v>
      </c>
      <c r="AP43">
        <v>2.619063521197206E-6</v>
      </c>
      <c r="AQ43">
        <v>1.4190652072231975E-5</v>
      </c>
      <c r="AR43">
        <v>-2.4189668888263872E-6</v>
      </c>
    </row>
    <row r="44" spans="10:44" x14ac:dyDescent="0.25">
      <c r="J44" s="8">
        <v>1.1412631012498249</v>
      </c>
      <c r="K44">
        <v>0.59065630351973852</v>
      </c>
      <c r="L44">
        <v>0.2969897588596182</v>
      </c>
      <c r="M44" s="30">
        <v>0.24208852957276936</v>
      </c>
      <c r="N44" s="31">
        <v>0.35648428197562959</v>
      </c>
      <c r="O44" s="31">
        <v>0.42629352603928183</v>
      </c>
      <c r="P44" s="8"/>
      <c r="X44" s="8">
        <v>3.8937703931440607E-3</v>
      </c>
      <c r="Y44">
        <v>1.8242648193284232E-3</v>
      </c>
      <c r="Z44" s="8">
        <v>0.4990265586316121</v>
      </c>
      <c r="AA44">
        <v>0.49954393392164803</v>
      </c>
      <c r="AB44" s="8"/>
      <c r="AE44">
        <v>0.1194237817930429</v>
      </c>
      <c r="AF44" s="14">
        <v>0.52982051209276138</v>
      </c>
      <c r="AG44" s="14" t="b">
        <v>1</v>
      </c>
      <c r="AH44">
        <v>0.11712675878237228</v>
      </c>
      <c r="AI44">
        <v>-2.1558843206112644E-3</v>
      </c>
      <c r="AJ44">
        <v>2.8011835944587771E-2</v>
      </c>
      <c r="AK44">
        <v>-1.0800407872887741E-3</v>
      </c>
      <c r="AL44">
        <v>1.401869322046057E-2</v>
      </c>
      <c r="AM44">
        <v>-2.4228222840057547E-4</v>
      </c>
      <c r="AN44">
        <v>4.3880358293318754E-5</v>
      </c>
      <c r="AO44">
        <v>-9.9548204535030049E-6</v>
      </c>
      <c r="AP44">
        <v>2.8734513348037165E-6</v>
      </c>
      <c r="AQ44">
        <v>1.4625151470959483E-5</v>
      </c>
      <c r="AR44">
        <v>-2.434624114744453E-6</v>
      </c>
    </row>
    <row r="45" spans="10:44" x14ac:dyDescent="0.25">
      <c r="J45" s="8">
        <v>0.79395530410557824</v>
      </c>
      <c r="K45">
        <v>0.43412792416080764</v>
      </c>
      <c r="L45">
        <v>0.20888106845479604</v>
      </c>
      <c r="M45" s="30">
        <v>0.31132002052053359</v>
      </c>
      <c r="N45" s="31">
        <v>0.3931410533980591</v>
      </c>
      <c r="O45" s="31">
        <v>0.44796877794926887</v>
      </c>
      <c r="P45" s="8"/>
      <c r="X45" s="8">
        <v>3.5259073593282586E-3</v>
      </c>
      <c r="Y45">
        <v>6.8904086828307156E-4</v>
      </c>
      <c r="Z45" s="8">
        <v>0.49911852407337853</v>
      </c>
      <c r="AA45">
        <v>0.49982773978974465</v>
      </c>
      <c r="AB45" s="8"/>
      <c r="AE45">
        <v>0.11948996356605426</v>
      </c>
      <c r="AF45" s="14">
        <v>0.52983699865047262</v>
      </c>
      <c r="AG45" s="14" t="b">
        <v>1</v>
      </c>
      <c r="AH45">
        <v>0.11712218937642271</v>
      </c>
      <c r="AI45">
        <v>-2.1558002142060026E-3</v>
      </c>
      <c r="AJ45">
        <v>2.8010743133251113E-2</v>
      </c>
      <c r="AK45">
        <v>-1.0798003930944293E-3</v>
      </c>
      <c r="AL45">
        <v>1.4010196703127101E-2</v>
      </c>
      <c r="AM45">
        <v>-2.4213303480776063E-4</v>
      </c>
      <c r="AN45">
        <v>4.3853481407673282E-5</v>
      </c>
      <c r="AO45">
        <v>-9.9463766633010956E-6</v>
      </c>
      <c r="AP45">
        <v>3.3561206645566751E-6</v>
      </c>
      <c r="AQ45">
        <v>1.52028044939737E-5</v>
      </c>
      <c r="AR45">
        <v>-2.4596668568190317E-6</v>
      </c>
    </row>
    <row r="46" spans="10:44" x14ac:dyDescent="0.25">
      <c r="J46" s="8">
        <v>1.0331000155978605</v>
      </c>
      <c r="K46">
        <v>0.58853530520676667</v>
      </c>
      <c r="L46">
        <v>0.26938675328494111</v>
      </c>
      <c r="M46" s="30">
        <v>0.26248354304072724</v>
      </c>
      <c r="N46" s="31">
        <v>0.35697099382882974</v>
      </c>
      <c r="O46" s="31">
        <v>0.4330576523989319</v>
      </c>
      <c r="P46" s="8"/>
      <c r="X46" s="8">
        <v>3.7783886282348259E-3</v>
      </c>
      <c r="Y46">
        <v>1.4565802457027547E-3</v>
      </c>
      <c r="Z46" s="8">
        <v>0.49905540396671283</v>
      </c>
      <c r="AA46">
        <v>0.49963585500295588</v>
      </c>
      <c r="AB46" s="8"/>
      <c r="AE46">
        <v>0.11944523454278087</v>
      </c>
      <c r="AF46" s="14">
        <v>0.52982585619964162</v>
      </c>
      <c r="AG46" s="14" t="b">
        <v>1</v>
      </c>
      <c r="AH46">
        <v>0.11712527763687236</v>
      </c>
      <c r="AI46">
        <v>-2.1558570580250459E-3</v>
      </c>
      <c r="AJ46">
        <v>2.8011481716355171E-2</v>
      </c>
      <c r="AK46">
        <v>-1.0799649430378677E-3</v>
      </c>
      <c r="AL46">
        <v>1.401594109910439E-2</v>
      </c>
      <c r="AM46">
        <v>-2.4223389137725836E-4</v>
      </c>
      <c r="AN46">
        <v>4.3871651180488018E-5</v>
      </c>
      <c r="AO46">
        <v>-9.9520736432610744E-6</v>
      </c>
      <c r="AP46">
        <v>3.0312455040716503E-6</v>
      </c>
      <c r="AQ46">
        <v>1.4631723781346917E-5</v>
      </c>
      <c r="AR46">
        <v>-2.4434204031152403E-6</v>
      </c>
    </row>
    <row r="47" spans="10:44" x14ac:dyDescent="0.25">
      <c r="J47" s="8">
        <v>1.1410994170237363</v>
      </c>
      <c r="K47">
        <v>0.62309197855707377</v>
      </c>
      <c r="L47">
        <v>0.29683454622720762</v>
      </c>
      <c r="M47" s="30">
        <v>0.24211856389634803</v>
      </c>
      <c r="N47" s="31">
        <v>0.34907855621188522</v>
      </c>
      <c r="O47" s="31">
        <v>0.42633148641655838</v>
      </c>
      <c r="P47" s="8"/>
      <c r="X47" s="8">
        <v>3.8885639441372994E-3</v>
      </c>
      <c r="Y47">
        <v>1.8001197493578676E-3</v>
      </c>
      <c r="Z47" s="8">
        <v>0.4990278602389368</v>
      </c>
      <c r="AA47">
        <v>0.49954997018418479</v>
      </c>
      <c r="AB47" s="8"/>
      <c r="AE47">
        <v>0.119425201457369</v>
      </c>
      <c r="AF47" s="14">
        <v>0.5298208657463731</v>
      </c>
      <c r="AG47" s="14" t="b">
        <v>1</v>
      </c>
      <c r="AH47">
        <v>0.11712666076625934</v>
      </c>
      <c r="AI47">
        <v>-2.1558825164855189E-3</v>
      </c>
      <c r="AJ47">
        <v>2.8011812503221305E-2</v>
      </c>
      <c r="AK47">
        <v>-1.080037077357216E-3</v>
      </c>
      <c r="AL47">
        <v>1.4018512402432128E-2</v>
      </c>
      <c r="AM47">
        <v>-2.4227904537070128E-4</v>
      </c>
      <c r="AN47">
        <v>4.3879785358681914E-5</v>
      </c>
      <c r="AO47">
        <v>-9.9546325757879986E-6</v>
      </c>
      <c r="AP47">
        <v>2.8736675172193031E-6</v>
      </c>
      <c r="AQ47">
        <v>1.4485990964472647E-5</v>
      </c>
      <c r="AR47">
        <v>-2.434633856285805E-6</v>
      </c>
    </row>
    <row r="48" spans="10:44" x14ac:dyDescent="0.25">
      <c r="J48" s="8">
        <v>1.0113156309950084</v>
      </c>
      <c r="K48">
        <v>0.50825856699938332</v>
      </c>
      <c r="L48">
        <v>0.26410666015965911</v>
      </c>
      <c r="M48" s="30">
        <v>0.26672245860265154</v>
      </c>
      <c r="N48" s="31">
        <v>0.37560184672100766</v>
      </c>
      <c r="O48" s="31">
        <v>0.43435446947807455</v>
      </c>
      <c r="P48" s="8"/>
      <c r="X48" s="8">
        <v>3.7670081677450861E-3</v>
      </c>
      <c r="Y48">
        <v>1.4392578886388533E-3</v>
      </c>
      <c r="Z48" s="8">
        <v>0.49905824907171137</v>
      </c>
      <c r="AA48">
        <v>0.4996401855899521</v>
      </c>
      <c r="AB48" s="8"/>
      <c r="AE48">
        <v>0.11944621787038613</v>
      </c>
      <c r="AF48" s="14">
        <v>0.52982610115678552</v>
      </c>
      <c r="AG48" s="14" t="b">
        <v>1</v>
      </c>
      <c r="AH48">
        <v>0.1171252097452334</v>
      </c>
      <c r="AI48">
        <v>-2.1558558083830215E-3</v>
      </c>
      <c r="AJ48">
        <v>2.8011465479506541E-2</v>
      </c>
      <c r="AK48">
        <v>-1.0799581834003119E-3</v>
      </c>
      <c r="AL48">
        <v>1.4015811668679354E-2</v>
      </c>
      <c r="AM48">
        <v>-2.4223163623363691E-4</v>
      </c>
      <c r="AN48">
        <v>4.3871243861925059E-5</v>
      </c>
      <c r="AO48">
        <v>-9.9519630417625641E-6</v>
      </c>
      <c r="AP48">
        <v>3.0624695642905798E-6</v>
      </c>
      <c r="AQ48">
        <v>1.4949191594123427E-5</v>
      </c>
      <c r="AR48">
        <v>-2.4451044110435618E-6</v>
      </c>
    </row>
    <row r="49" spans="1:44" x14ac:dyDescent="0.25">
      <c r="J49" s="8">
        <v>1.001457594279084</v>
      </c>
      <c r="K49">
        <v>0.53800884410832339</v>
      </c>
      <c r="L49">
        <v>0.26148619415252705</v>
      </c>
      <c r="M49" s="30">
        <v>0.26865493747643798</v>
      </c>
      <c r="N49" s="31">
        <v>0.36865089732012213</v>
      </c>
      <c r="O49" s="31">
        <v>0.4349984039145316</v>
      </c>
      <c r="P49" s="8"/>
      <c r="X49" s="8">
        <v>3.7513173048675874E-3</v>
      </c>
      <c r="Y49">
        <v>1.3821470325256627E-3</v>
      </c>
      <c r="Z49" s="8">
        <v>0.49906217177357248</v>
      </c>
      <c r="AA49">
        <v>0.49965446329687602</v>
      </c>
      <c r="AB49" s="8"/>
      <c r="AE49">
        <v>0.11944956029953425</v>
      </c>
      <c r="AF49" s="14">
        <v>0.52982693379057688</v>
      </c>
      <c r="AG49" s="14" t="b">
        <v>1</v>
      </c>
      <c r="AH49">
        <v>0.1171249789744051</v>
      </c>
      <c r="AI49">
        <v>-2.1558515607182221E-3</v>
      </c>
      <c r="AJ49">
        <v>2.8011410288748682E-2</v>
      </c>
      <c r="AK49">
        <v>-1.0799475988047405E-3</v>
      </c>
      <c r="AL49">
        <v>1.4015384114735368E-2</v>
      </c>
      <c r="AM49">
        <v>-2.4222412007048779E-4</v>
      </c>
      <c r="AN49">
        <v>4.3869890359567672E-5</v>
      </c>
      <c r="AO49">
        <v>-9.9515293407288935E-6</v>
      </c>
      <c r="AP49">
        <v>3.0764597843776356E-6</v>
      </c>
      <c r="AQ49">
        <v>1.4835517262324605E-5</v>
      </c>
      <c r="AR49">
        <v>-2.4458350588384142E-6</v>
      </c>
    </row>
    <row r="50" spans="1:44" x14ac:dyDescent="0.25">
      <c r="J50" s="8">
        <v>1.0128408392587751</v>
      </c>
      <c r="K50">
        <v>0.4808401881000095</v>
      </c>
      <c r="L50">
        <v>0.26459187861239986</v>
      </c>
      <c r="M50" s="30">
        <v>0.26642426210253428</v>
      </c>
      <c r="N50" s="31">
        <v>0.38205374668309516</v>
      </c>
      <c r="O50" s="31">
        <v>0.43423525963354048</v>
      </c>
      <c r="P50" s="8"/>
      <c r="X50" s="8">
        <v>3.7730874349979591E-3</v>
      </c>
      <c r="Y50">
        <v>1.4652133174745685E-3</v>
      </c>
      <c r="Z50" s="8">
        <v>0.49905672926029865</v>
      </c>
      <c r="AA50">
        <v>0.49963369673616453</v>
      </c>
      <c r="AB50" s="8"/>
      <c r="AE50">
        <v>0.11944469398146419</v>
      </c>
      <c r="AF50" s="14">
        <v>0.5298257215401837</v>
      </c>
      <c r="AG50" s="14" t="b">
        <v>1</v>
      </c>
      <c r="AH50">
        <v>0.11712531495869126</v>
      </c>
      <c r="AI50">
        <v>-2.1558577449861216E-3</v>
      </c>
      <c r="AJ50">
        <v>2.8011490642177748E-2</v>
      </c>
      <c r="AK50">
        <v>-1.0799624300228648E-3</v>
      </c>
      <c r="AL50">
        <v>1.4016006021536001E-2</v>
      </c>
      <c r="AM50">
        <v>-2.4223505605443541E-4</v>
      </c>
      <c r="AN50">
        <v>4.3871859506497944E-5</v>
      </c>
      <c r="AO50">
        <v>-9.9521634756305313E-6</v>
      </c>
      <c r="AP50">
        <v>3.0603202528409241E-6</v>
      </c>
      <c r="AQ50">
        <v>1.504902184170193E-5</v>
      </c>
      <c r="AR50">
        <v>-2.4449977511722991E-6</v>
      </c>
    </row>
    <row r="51" spans="1:44" x14ac:dyDescent="0.25">
      <c r="J51" s="8">
        <v>1.001457594279084</v>
      </c>
      <c r="K51">
        <v>0.53800884410832339</v>
      </c>
      <c r="L51">
        <v>0.26148619415252705</v>
      </c>
      <c r="M51" s="30">
        <v>0.26865493747643798</v>
      </c>
      <c r="N51" s="31">
        <v>0.36865089732012213</v>
      </c>
      <c r="O51" s="31">
        <v>0.4349984039145316</v>
      </c>
      <c r="P51" s="8"/>
      <c r="X51" s="8">
        <v>3.7513173048675874E-3</v>
      </c>
      <c r="Y51">
        <v>1.3821470325256627E-3</v>
      </c>
      <c r="Z51" s="8">
        <v>0.49906217177357248</v>
      </c>
      <c r="AA51">
        <v>0.49965446329687602</v>
      </c>
      <c r="AB51" s="8"/>
      <c r="AE51">
        <v>0.11944956029953425</v>
      </c>
      <c r="AF51" s="14">
        <v>0.52982693379057688</v>
      </c>
      <c r="AG51" s="14" t="b">
        <v>1</v>
      </c>
      <c r="AH51">
        <v>0.1171249789744051</v>
      </c>
      <c r="AI51">
        <v>-2.1558515607182221E-3</v>
      </c>
      <c r="AJ51">
        <v>2.8011410288748682E-2</v>
      </c>
      <c r="AK51">
        <v>-1.0799475988047405E-3</v>
      </c>
      <c r="AL51">
        <v>1.4015384114735368E-2</v>
      </c>
      <c r="AM51">
        <v>-2.4222412007048779E-4</v>
      </c>
      <c r="AN51">
        <v>4.3869890359567672E-5</v>
      </c>
      <c r="AO51">
        <v>-9.9515293407288935E-6</v>
      </c>
      <c r="AP51">
        <v>3.0764597843776356E-6</v>
      </c>
      <c r="AQ51">
        <v>1.4835517262324605E-5</v>
      </c>
      <c r="AR51">
        <v>-2.4458350588384142E-6</v>
      </c>
    </row>
    <row r="52" spans="1:44" x14ac:dyDescent="0.25">
      <c r="J52" s="8">
        <v>1.0332636998239488</v>
      </c>
      <c r="K52">
        <v>0.55609963016943142</v>
      </c>
      <c r="L52">
        <v>0.26954196591735169</v>
      </c>
      <c r="M52" s="30">
        <v>0.26245185730909504</v>
      </c>
      <c r="N52" s="31">
        <v>0.36445040945569301</v>
      </c>
      <c r="O52" s="31">
        <v>0.4330195451877909</v>
      </c>
      <c r="P52" s="8"/>
      <c r="X52" s="8">
        <v>3.7836545572700058E-3</v>
      </c>
      <c r="Y52">
        <v>1.480989268223625E-3</v>
      </c>
      <c r="Z52" s="8">
        <v>0.49905408748915914</v>
      </c>
      <c r="AA52">
        <v>0.49962975275061694</v>
      </c>
      <c r="AB52" s="8"/>
      <c r="AE52">
        <v>0.11944379937015387</v>
      </c>
      <c r="AF52" s="14">
        <v>0.52982549868317286</v>
      </c>
      <c r="AG52" s="14" t="b">
        <v>1</v>
      </c>
      <c r="AH52">
        <v>0.11712537672505156</v>
      </c>
      <c r="AI52">
        <v>-2.1558588818836938E-3</v>
      </c>
      <c r="AJ52">
        <v>2.8011505414115175E-2</v>
      </c>
      <c r="AK52">
        <v>-1.0799686948298279E-3</v>
      </c>
      <c r="AL52">
        <v>1.4016123889888243E-2</v>
      </c>
      <c r="AM52">
        <v>-2.4223710912667465E-4</v>
      </c>
      <c r="AN52">
        <v>4.3872230364997649E-5</v>
      </c>
      <c r="AO52">
        <v>-9.9522635626976648E-6</v>
      </c>
      <c r="AP52">
        <v>3.0310379833448764E-6</v>
      </c>
      <c r="AQ52">
        <v>1.4764689013862137E-5</v>
      </c>
      <c r="AR52">
        <v>-2.4434162412668354E-6</v>
      </c>
    </row>
    <row r="53" spans="1:44" x14ac:dyDescent="0.25">
      <c r="J53" s="8">
        <v>0.99192692601533627</v>
      </c>
      <c r="K53">
        <v>0.5028877711425932</v>
      </c>
      <c r="L53">
        <v>0.25917615341021616</v>
      </c>
      <c r="M53" s="30">
        <v>0.27053164173884531</v>
      </c>
      <c r="N53" s="31">
        <v>0.37686227223553365</v>
      </c>
      <c r="O53" s="31">
        <v>0.43556623871013533</v>
      </c>
      <c r="P53" s="8"/>
      <c r="X53" s="8">
        <v>3.7462535782103986E-3</v>
      </c>
      <c r="Y53">
        <v>1.3743670942620188E-3</v>
      </c>
      <c r="Z53" s="8">
        <v>0.49906343770078926</v>
      </c>
      <c r="AA53">
        <v>0.49965640828051827</v>
      </c>
      <c r="AB53" s="8"/>
      <c r="AE53">
        <v>0.11945000215731812</v>
      </c>
      <c r="AF53" s="14">
        <v>0.52982704386192436</v>
      </c>
      <c r="AG53" s="14" t="b">
        <v>1</v>
      </c>
      <c r="AH53">
        <v>0.11712494846724605</v>
      </c>
      <c r="AI53">
        <v>-2.1558509991906382E-3</v>
      </c>
      <c r="AJ53">
        <v>2.8011402992708535E-2</v>
      </c>
      <c r="AK53">
        <v>-1.0799445883638769E-3</v>
      </c>
      <c r="AL53">
        <v>1.4015325982473627E-2</v>
      </c>
      <c r="AM53">
        <v>-2.4222310705225095E-4</v>
      </c>
      <c r="AN53">
        <v>4.3869707399491377E-5</v>
      </c>
      <c r="AO53">
        <v>-9.9514795164390309E-6</v>
      </c>
      <c r="AP53">
        <v>3.0899897466720202E-6</v>
      </c>
      <c r="AQ53">
        <v>1.4968659693551291E-5</v>
      </c>
      <c r="AR53">
        <v>-2.4465542261272686E-6</v>
      </c>
    </row>
    <row r="54" spans="1:44" x14ac:dyDescent="0.25">
      <c r="J54" s="8">
        <v>1.1591265979657304</v>
      </c>
      <c r="K54">
        <v>0.62344547827590235</v>
      </c>
      <c r="L54">
        <v>0.30143504715632041</v>
      </c>
      <c r="M54" s="30">
        <v>0.23882602308062725</v>
      </c>
      <c r="N54" s="31">
        <v>0.34899823733093371</v>
      </c>
      <c r="O54" s="31">
        <v>0.42520671151592671</v>
      </c>
      <c r="P54" s="8"/>
      <c r="X54" s="8">
        <v>3.907189819120035E-3</v>
      </c>
      <c r="Y54">
        <v>1.8595106288725447E-3</v>
      </c>
      <c r="Z54" s="8">
        <v>0.49902320378787801</v>
      </c>
      <c r="AA54">
        <v>0.49953512247673548</v>
      </c>
      <c r="AB54" s="8"/>
      <c r="AE54">
        <v>0.11942173621356293</v>
      </c>
      <c r="AF54" s="14">
        <v>0.5298200025169183</v>
      </c>
      <c r="AG54" s="14" t="b">
        <v>1</v>
      </c>
      <c r="AH54">
        <v>0.1171269000125983</v>
      </c>
      <c r="AI54">
        <v>-2.1558869201541279E-3</v>
      </c>
      <c r="AJ54">
        <v>2.801186972096785E-2</v>
      </c>
      <c r="AK54">
        <v>-1.0800493222544339E-3</v>
      </c>
      <c r="AL54">
        <v>1.4018956949101817E-2</v>
      </c>
      <c r="AM54">
        <v>-2.4228685322349845E-4</v>
      </c>
      <c r="AN54">
        <v>4.388119181173387E-5</v>
      </c>
      <c r="AO54">
        <v>-9.9550763002223459E-6</v>
      </c>
      <c r="AP54">
        <v>2.8469710376782454E-6</v>
      </c>
      <c r="AQ54">
        <v>1.4484815693482716E-5</v>
      </c>
      <c r="AR54">
        <v>-2.4330800198268796E-6</v>
      </c>
    </row>
    <row r="55" spans="1:44" x14ac:dyDescent="0.25">
      <c r="J55" s="8">
        <v>0.97101301277189711</v>
      </c>
      <c r="K55">
        <v>0.52493535418517667</v>
      </c>
      <c r="L55">
        <v>0.25376042820803246</v>
      </c>
      <c r="M55" s="30">
        <v>0.27467863333024417</v>
      </c>
      <c r="N55" s="31">
        <v>0.37169890888737006</v>
      </c>
      <c r="O55" s="31">
        <v>0.43689814701377594</v>
      </c>
      <c r="P55" s="8"/>
      <c r="X55" s="8">
        <v>3.7192140959592264E-3</v>
      </c>
      <c r="Y55">
        <v>1.2829073386864402E-3</v>
      </c>
      <c r="Z55" s="8">
        <v>0.49907019754780507</v>
      </c>
      <c r="AA55">
        <v>0.49967927320931738</v>
      </c>
      <c r="AB55" s="8"/>
      <c r="AE55">
        <v>0.11945534607012437</v>
      </c>
      <c r="AF55" s="14">
        <v>0.52982837508568803</v>
      </c>
      <c r="AG55" s="14" t="b">
        <v>1</v>
      </c>
      <c r="AH55">
        <v>0.11712457950708788</v>
      </c>
      <c r="AI55">
        <v>-2.1558442079549871E-3</v>
      </c>
      <c r="AJ55">
        <v>2.8011314752826134E-2</v>
      </c>
      <c r="AK55">
        <v>-1.0799266132086001E-3</v>
      </c>
      <c r="AL55">
        <v>1.4014641355496541E-2</v>
      </c>
      <c r="AM55">
        <v>-2.4221107751005097E-4</v>
      </c>
      <c r="AN55">
        <v>4.386754078212266E-5</v>
      </c>
      <c r="AO55">
        <v>-9.9507910192724712E-6</v>
      </c>
      <c r="AP55">
        <v>3.1194075494044306E-6</v>
      </c>
      <c r="AQ55">
        <v>1.4885323944415847E-5</v>
      </c>
      <c r="AR55">
        <v>-2.4480752587924566E-6</v>
      </c>
    </row>
    <row r="56" spans="1:44" x14ac:dyDescent="0.25">
      <c r="J56" s="8">
        <v>1.2395681501858646</v>
      </c>
      <c r="K56">
        <v>0.62252757894165056</v>
      </c>
      <c r="L56">
        <v>0.32197229842716318</v>
      </c>
      <c r="M56" s="30">
        <v>0.22451116438695046</v>
      </c>
      <c r="N56" s="31">
        <v>0.3492068115478153</v>
      </c>
      <c r="O56" s="31">
        <v>0.42019515895523618</v>
      </c>
      <c r="P56" s="8"/>
      <c r="X56" s="8">
        <v>3.9885481488664528E-3</v>
      </c>
      <c r="Y56">
        <v>2.1196379463275603E-3</v>
      </c>
      <c r="Z56" s="8">
        <v>0.49900286428469548</v>
      </c>
      <c r="AA56">
        <v>0.49947009071181903</v>
      </c>
      <c r="AB56" s="8"/>
      <c r="AE56">
        <v>0.11940655770497524</v>
      </c>
      <c r="AF56" s="14">
        <v>0.52981622138528406</v>
      </c>
      <c r="AG56" s="14" t="b">
        <v>1</v>
      </c>
      <c r="AH56">
        <v>0.1171279479560762</v>
      </c>
      <c r="AI56">
        <v>-2.1559062090419651E-3</v>
      </c>
      <c r="AJ56">
        <v>2.8012120345343415E-2</v>
      </c>
      <c r="AK56">
        <v>-1.0801028356008649E-3</v>
      </c>
      <c r="AL56">
        <v>1.4020904055424348E-2</v>
      </c>
      <c r="AM56">
        <v>-2.4232105215226077E-4</v>
      </c>
      <c r="AN56">
        <v>4.3887352131481345E-5</v>
      </c>
      <c r="AO56">
        <v>-9.9570204981222728E-6</v>
      </c>
      <c r="AP56">
        <v>2.7269432329753447E-6</v>
      </c>
      <c r="AQ56">
        <v>1.4490452569229004E-5</v>
      </c>
      <c r="AR56">
        <v>-2.4258407263841971E-6</v>
      </c>
    </row>
    <row r="57" spans="1:44" x14ac:dyDescent="0.25">
      <c r="J57" s="8">
        <v>0.97270190526175226</v>
      </c>
      <c r="K57">
        <v>0.46508130024846783</v>
      </c>
      <c r="L57">
        <v>0.25440085929318379</v>
      </c>
      <c r="M57" s="30">
        <v>0.27434228287964058</v>
      </c>
      <c r="N57" s="31">
        <v>0.3857810926217991</v>
      </c>
      <c r="O57" s="31">
        <v>0.43674059571147539</v>
      </c>
      <c r="P57" s="8"/>
      <c r="X57" s="8">
        <v>3.7306985836669275E-3</v>
      </c>
      <c r="Y57">
        <v>1.3338668189202746E-3</v>
      </c>
      <c r="Z57" s="8">
        <v>0.49906732643583762</v>
      </c>
      <c r="AA57">
        <v>0.499666533344712</v>
      </c>
      <c r="AB57" s="8"/>
      <c r="AE57">
        <v>0.11945235207271802</v>
      </c>
      <c r="AF57" s="14">
        <v>0.52982762925012505</v>
      </c>
      <c r="AG57" s="14" t="b">
        <v>1</v>
      </c>
      <c r="AH57">
        <v>0.11712478622203198</v>
      </c>
      <c r="AI57">
        <v>-2.1558480128370779E-3</v>
      </c>
      <c r="AJ57">
        <v>2.8011364190419743E-2</v>
      </c>
      <c r="AK57">
        <v>-1.079934708868464E-3</v>
      </c>
      <c r="AL57">
        <v>1.4015022951136505E-2</v>
      </c>
      <c r="AM57">
        <v>-2.4221779341754849E-4</v>
      </c>
      <c r="AN57">
        <v>4.3868749713665356E-5</v>
      </c>
      <c r="AO57">
        <v>-9.9511859640540602E-6</v>
      </c>
      <c r="AP57">
        <v>3.1170933442631318E-6</v>
      </c>
      <c r="AQ57">
        <v>1.5103324812430244E-5</v>
      </c>
      <c r="AR57">
        <v>-2.4479743103813731E-6</v>
      </c>
    </row>
    <row r="58" spans="1:44" x14ac:dyDescent="0.25">
      <c r="J58" s="8">
        <v>0.92951255473719607</v>
      </c>
      <c r="K58">
        <v>0.50415917019567358</v>
      </c>
      <c r="L58">
        <v>0.24323940306848624</v>
      </c>
      <c r="M58" s="30">
        <v>0.28302361704639462</v>
      </c>
      <c r="N58" s="31">
        <v>0.37656374734539499</v>
      </c>
      <c r="O58" s="31">
        <v>0.43948820585807302</v>
      </c>
      <c r="P58" s="8"/>
      <c r="X58" s="8">
        <v>3.6751763547345812E-3</v>
      </c>
      <c r="Y58">
        <v>1.1475170465644487E-3</v>
      </c>
      <c r="Z58" s="8">
        <v>0.49908120694548824</v>
      </c>
      <c r="AA58">
        <v>0.49971312076983904</v>
      </c>
      <c r="AB58" s="8"/>
      <c r="AE58">
        <v>0.11946323835139488</v>
      </c>
      <c r="AF58" s="14">
        <v>0.529830341133528</v>
      </c>
      <c r="AG58" s="14" t="b">
        <v>1</v>
      </c>
      <c r="AH58">
        <v>0.11712403459729549</v>
      </c>
      <c r="AI58">
        <v>-2.1558341781164618E-3</v>
      </c>
      <c r="AJ58">
        <v>2.8011184433129187E-2</v>
      </c>
      <c r="AK58">
        <v>-1.0798978545277635E-3</v>
      </c>
      <c r="AL58">
        <v>1.4013628043590664E-2</v>
      </c>
      <c r="AM58">
        <v>-2.421932848830028E-4</v>
      </c>
      <c r="AN58">
        <v>4.3864335450551158E-5</v>
      </c>
      <c r="AO58">
        <v>-9.9497845123467606E-6</v>
      </c>
      <c r="AP58">
        <v>3.1770251842586213E-6</v>
      </c>
      <c r="AQ58">
        <v>1.4962504834424823E-5</v>
      </c>
      <c r="AR58">
        <v>-2.4510132286916876E-6</v>
      </c>
    </row>
    <row r="59" spans="1:44" x14ac:dyDescent="0.25">
      <c r="J59" s="8">
        <v>1.1577650739280523</v>
      </c>
      <c r="K59">
        <v>0.61842818213794093</v>
      </c>
      <c r="L59">
        <v>0.30110504133599031</v>
      </c>
      <c r="M59" s="30">
        <v>0.23907362002766466</v>
      </c>
      <c r="N59" s="31">
        <v>0.35013902121355095</v>
      </c>
      <c r="O59" s="31">
        <v>0.42528736889664065</v>
      </c>
      <c r="P59" s="8"/>
      <c r="X59" s="8">
        <v>3.9065608147136758E-3</v>
      </c>
      <c r="Y59">
        <v>1.8586603681600231E-3</v>
      </c>
      <c r="Z59" s="8">
        <v>0.49902336103837958</v>
      </c>
      <c r="AA59">
        <v>0.49953533504173003</v>
      </c>
      <c r="AB59" s="8"/>
      <c r="AE59">
        <v>0.11942178415582584</v>
      </c>
      <c r="AF59" s="14">
        <v>0.52982001445985227</v>
      </c>
      <c r="AG59" s="14" t="b">
        <v>1</v>
      </c>
      <c r="AH59">
        <v>0.11712689670258655</v>
      </c>
      <c r="AI59">
        <v>-2.155886859228661E-3</v>
      </c>
      <c r="AJ59">
        <v>2.8011868929351081E-2</v>
      </c>
      <c r="AK59">
        <v>-1.0800489527178986E-3</v>
      </c>
      <c r="AL59">
        <v>1.4018950598582663E-2</v>
      </c>
      <c r="AM59">
        <v>-2.4228674278949105E-4</v>
      </c>
      <c r="AN59">
        <v>4.3881171852355448E-5</v>
      </c>
      <c r="AO59">
        <v>-9.9550710939437123E-6</v>
      </c>
      <c r="AP59">
        <v>2.8489943658359736E-6</v>
      </c>
      <c r="AQ59">
        <v>1.450669121914329E-5</v>
      </c>
      <c r="AR59">
        <v>-2.4331987931533727E-6</v>
      </c>
    </row>
    <row r="60" spans="1:44" ht="15.75" thickBot="1" x14ac:dyDescent="0.3">
      <c r="A60" s="1"/>
      <c r="B60" s="1"/>
      <c r="C60" s="1"/>
      <c r="D60" s="1"/>
      <c r="E60" s="1"/>
      <c r="F60" s="1"/>
      <c r="G60" s="1"/>
      <c r="H60" s="1"/>
      <c r="I60" s="1"/>
      <c r="J60" s="11">
        <v>1.001457594279084</v>
      </c>
      <c r="K60" s="1">
        <v>0.53800884410832339</v>
      </c>
      <c r="L60" s="1">
        <v>0.26148619415252705</v>
      </c>
      <c r="M60" s="32">
        <v>0.26865493747643798</v>
      </c>
      <c r="N60" s="33">
        <v>0.36865089732012213</v>
      </c>
      <c r="O60" s="33">
        <v>0.4349984039145316</v>
      </c>
      <c r="P60" s="11"/>
      <c r="Q60" s="1"/>
      <c r="R60" s="1"/>
      <c r="S60" s="1"/>
      <c r="T60" s="1"/>
      <c r="U60" s="1"/>
      <c r="V60" s="1"/>
      <c r="W60" s="1"/>
      <c r="X60" s="11">
        <v>3.7513173048675874E-3</v>
      </c>
      <c r="Y60" s="1">
        <v>1.3821470325256627E-3</v>
      </c>
      <c r="Z60" s="11">
        <v>0.49906217177357248</v>
      </c>
      <c r="AA60" s="1">
        <v>0.49965446329687602</v>
      </c>
      <c r="AB60" s="11"/>
      <c r="AC60" s="1"/>
      <c r="AD60" s="12"/>
      <c r="AE60" s="12">
        <v>0.11944956029953425</v>
      </c>
      <c r="AF60" s="15">
        <v>0.52982693379057688</v>
      </c>
      <c r="AG60" s="15" t="b">
        <v>1</v>
      </c>
      <c r="AH60" s="11">
        <v>0.1171249789744051</v>
      </c>
      <c r="AI60" s="1">
        <v>-2.1558515607182221E-3</v>
      </c>
      <c r="AJ60" s="1">
        <v>2.8011410288748682E-2</v>
      </c>
      <c r="AK60" s="1">
        <v>-1.0799475988047405E-3</v>
      </c>
      <c r="AL60" s="1">
        <v>1.4015384114735368E-2</v>
      </c>
      <c r="AM60" s="1">
        <v>-2.4222412007048779E-4</v>
      </c>
      <c r="AN60" s="1">
        <v>4.3869890359567672E-5</v>
      </c>
      <c r="AO60" s="1">
        <v>-9.9515293407288935E-6</v>
      </c>
      <c r="AP60" s="1">
        <v>3.0764597843776356E-6</v>
      </c>
      <c r="AQ60" s="1">
        <v>1.4835517262324605E-5</v>
      </c>
      <c r="AR60" s="1">
        <v>-2.4458350588384142E-6</v>
      </c>
    </row>
  </sheetData>
  <mergeCells count="3">
    <mergeCell ref="AI1:AJ1"/>
    <mergeCell ref="AK1:AL1"/>
    <mergeCell ref="AP1:AR1"/>
  </mergeCells>
  <conditionalFormatting sqref="Q2:Q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6B3CC-7B6F-40D7-B9E7-1BA4B02DBB6D}">
  <sheetPr codeName="Foglio4"/>
  <dimension ref="A1:T22"/>
  <sheetViews>
    <sheetView showGridLines="0" tabSelected="1" topLeftCell="A2" zoomScale="85" zoomScaleNormal="85" workbookViewId="0">
      <selection activeCell="N12" sqref="N12"/>
    </sheetView>
  </sheetViews>
  <sheetFormatPr defaultRowHeight="15" x14ac:dyDescent="0.25"/>
  <cols>
    <col min="1" max="2" width="12" customWidth="1"/>
    <col min="3" max="3" width="22.85546875" customWidth="1"/>
    <col min="4" max="4" width="12" customWidth="1"/>
    <col min="5" max="5" width="21.28515625" customWidth="1"/>
    <col min="6" max="6" width="12" customWidth="1"/>
    <col min="7" max="7" width="20.7109375" customWidth="1"/>
    <col min="8" max="10" width="12" customWidth="1"/>
    <col min="11" max="11" width="7.85546875" customWidth="1"/>
    <col min="18" max="18" width="2.85546875" customWidth="1"/>
    <col min="20" max="20" width="31.28515625" customWidth="1"/>
  </cols>
  <sheetData>
    <row r="1" spans="1:20" x14ac:dyDescent="0.25">
      <c r="B1" s="2"/>
      <c r="C1" s="2"/>
      <c r="D1" s="2"/>
      <c r="E1" s="2"/>
      <c r="F1" s="2"/>
      <c r="G1" s="2"/>
      <c r="H1" s="2"/>
    </row>
    <row r="2" spans="1:20" ht="34.5" customHeight="1" thickBot="1" x14ac:dyDescent="0.45">
      <c r="A2" s="17"/>
      <c r="B2" s="19" t="s">
        <v>42</v>
      </c>
      <c r="C2" s="17"/>
      <c r="D2" s="17"/>
      <c r="E2" s="17"/>
      <c r="F2" s="17"/>
      <c r="G2" s="17"/>
      <c r="H2" s="17"/>
      <c r="I2" s="17"/>
      <c r="J2" s="17"/>
    </row>
    <row r="3" spans="1:20" ht="34.5" customHeight="1" thickBot="1" x14ac:dyDescent="0.3">
      <c r="A3" s="17"/>
      <c r="B3" s="17"/>
      <c r="C3" s="17"/>
      <c r="D3" s="20" t="s">
        <v>2</v>
      </c>
      <c r="E3" s="17"/>
      <c r="F3" s="17"/>
      <c r="G3" s="17"/>
      <c r="H3" s="17"/>
      <c r="I3" s="17"/>
      <c r="J3" s="17"/>
    </row>
    <row r="4" spans="1:20" ht="34.5" customHeight="1" thickBot="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S4" s="25" t="s">
        <v>58</v>
      </c>
      <c r="T4" s="26">
        <v>1000</v>
      </c>
    </row>
    <row r="5" spans="1:20" ht="34.5" customHeight="1" thickBot="1" x14ac:dyDescent="0.3">
      <c r="A5" s="17"/>
      <c r="B5" s="23" t="s">
        <v>0</v>
      </c>
      <c r="C5" s="17"/>
      <c r="D5" s="17"/>
      <c r="E5" s="17"/>
      <c r="F5" s="21" t="s">
        <v>5</v>
      </c>
      <c r="G5" s="17"/>
      <c r="H5" s="17"/>
      <c r="I5" s="17"/>
      <c r="J5" s="17"/>
      <c r="S5" s="25" t="s">
        <v>43</v>
      </c>
      <c r="T5" s="36">
        <f>COUNTIF(y_pred_arr,TRUE)/59</f>
        <v>1</v>
      </c>
    </row>
    <row r="6" spans="1:20" ht="34.5" customHeight="1" thickBot="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S6" s="25" t="s">
        <v>45</v>
      </c>
      <c r="T6" s="34" cm="1">
        <f t="array" ref="T6">AVERAGE(-(Y*LN(Y_pred)+(1-Y)*LN(1-Y_pred)))</f>
        <v>0.66367403285936011</v>
      </c>
    </row>
    <row r="7" spans="1:20" ht="34.5" customHeight="1" thickBot="1" x14ac:dyDescent="0.3">
      <c r="A7" s="17"/>
      <c r="B7" s="17"/>
      <c r="C7" s="17"/>
      <c r="D7" s="20" t="s">
        <v>3</v>
      </c>
      <c r="E7" s="17"/>
      <c r="F7" s="17"/>
      <c r="G7" s="17"/>
      <c r="H7" s="22" t="s">
        <v>7</v>
      </c>
      <c r="I7" s="17"/>
      <c r="J7" s="17" t="s">
        <v>10</v>
      </c>
    </row>
    <row r="8" spans="1:20" ht="34.5" customHeight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</row>
    <row r="9" spans="1:20" ht="34.5" customHeight="1" thickBot="1" x14ac:dyDescent="0.3">
      <c r="A9" s="18"/>
      <c r="B9" s="23" t="s">
        <v>1</v>
      </c>
      <c r="C9" s="17"/>
      <c r="D9" s="17"/>
      <c r="E9" s="17"/>
      <c r="F9" s="21" t="s">
        <v>6</v>
      </c>
      <c r="G9" s="17"/>
      <c r="H9" s="17"/>
      <c r="I9" s="17"/>
      <c r="J9" s="17"/>
    </row>
    <row r="10" spans="1:20" ht="34.5" customHeight="1" thickBot="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</row>
    <row r="11" spans="1:20" ht="34.5" customHeight="1" thickBot="1" x14ac:dyDescent="0.3">
      <c r="A11" s="17"/>
      <c r="B11" s="17"/>
      <c r="C11" s="17"/>
      <c r="D11" s="20" t="s">
        <v>4</v>
      </c>
      <c r="E11" s="17"/>
      <c r="F11" s="17"/>
      <c r="G11" s="17"/>
      <c r="H11" s="17"/>
      <c r="I11" s="17"/>
      <c r="J11" s="17"/>
    </row>
    <row r="12" spans="1:20" ht="28.5" customHeight="1" x14ac:dyDescent="0.4">
      <c r="B12" s="19" t="s">
        <v>9</v>
      </c>
    </row>
    <row r="13" spans="1:20" ht="42" customHeight="1" thickBot="1" x14ac:dyDescent="0.3">
      <c r="D13" s="27" t="s">
        <v>49</v>
      </c>
    </row>
    <row r="14" spans="1:20" ht="42" customHeight="1" thickBot="1" x14ac:dyDescent="0.3">
      <c r="D14" s="20" t="s">
        <v>14</v>
      </c>
      <c r="F14" s="27" t="s">
        <v>47</v>
      </c>
    </row>
    <row r="15" spans="1:20" ht="42" customHeight="1" thickBot="1" x14ac:dyDescent="0.3">
      <c r="F15" s="21" t="s">
        <v>12</v>
      </c>
    </row>
    <row r="16" spans="1:20" ht="42" customHeight="1" thickBot="1" x14ac:dyDescent="0.3">
      <c r="D16" s="27" t="s">
        <v>50</v>
      </c>
      <c r="H16" s="28" t="s">
        <v>46</v>
      </c>
    </row>
    <row r="17" spans="4:8" ht="42" customHeight="1" thickBot="1" x14ac:dyDescent="0.3">
      <c r="D17" s="20" t="s">
        <v>15</v>
      </c>
      <c r="H17" s="22" t="s">
        <v>11</v>
      </c>
    </row>
    <row r="18" spans="4:8" ht="42" customHeight="1" thickBot="1" x14ac:dyDescent="0.3">
      <c r="F18" s="27" t="s">
        <v>48</v>
      </c>
    </row>
    <row r="19" spans="4:8" ht="42" customHeight="1" thickBot="1" x14ac:dyDescent="0.3">
      <c r="D19" s="27" t="s">
        <v>51</v>
      </c>
      <c r="F19" s="21" t="s">
        <v>13</v>
      </c>
    </row>
    <row r="20" spans="4:8" ht="42" customHeight="1" thickBot="1" x14ac:dyDescent="0.3">
      <c r="D20" s="20" t="s">
        <v>16</v>
      </c>
    </row>
    <row r="21" spans="4:8" ht="42" customHeight="1" x14ac:dyDescent="0.25"/>
    <row r="22" spans="4:8" ht="42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Button 11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" name="Button 12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1</vt:i4>
      </vt:variant>
      <vt:variant>
        <vt:lpstr>Intervalli denominati</vt:lpstr>
      </vt:variant>
      <vt:variant>
        <vt:i4>67</vt:i4>
      </vt:variant>
    </vt:vector>
  </HeadingPairs>
  <TitlesOfParts>
    <vt:vector size="71" baseType="lpstr">
      <vt:lpstr>DATI</vt:lpstr>
      <vt:lpstr>PARAMETRI</vt:lpstr>
      <vt:lpstr>Grafo</vt:lpstr>
      <vt:lpstr>Grafico1</vt:lpstr>
      <vt:lpstr>a1_1</vt:lpstr>
      <vt:lpstr>a1_2</vt:lpstr>
      <vt:lpstr>a1_3</vt:lpstr>
      <vt:lpstr>a2_1</vt:lpstr>
      <vt:lpstr>a2_2</vt:lpstr>
      <vt:lpstr>beta1_1</vt:lpstr>
      <vt:lpstr>beta1_2</vt:lpstr>
      <vt:lpstr>beta1_3</vt:lpstr>
      <vt:lpstr>beta2_1</vt:lpstr>
      <vt:lpstr>beta2_2</vt:lpstr>
      <vt:lpstr>beta3</vt:lpstr>
      <vt:lpstr>dA1_1</vt:lpstr>
      <vt:lpstr>dA1_2</vt:lpstr>
      <vt:lpstr>dA1_3</vt:lpstr>
      <vt:lpstr>dA2_1</vt:lpstr>
      <vt:lpstr>dA2_2</vt:lpstr>
      <vt:lpstr>deltabeta1_1</vt:lpstr>
      <vt:lpstr>deltabeta1_2</vt:lpstr>
      <vt:lpstr>deltabeta1_3</vt:lpstr>
      <vt:lpstr>deltabeta2_1</vt:lpstr>
      <vt:lpstr>deltabeta2_2</vt:lpstr>
      <vt:lpstr>deltabeta3</vt:lpstr>
      <vt:lpstr>deltaw11_1</vt:lpstr>
      <vt:lpstr>deltaw11_2</vt:lpstr>
      <vt:lpstr>deltaw11_3</vt:lpstr>
      <vt:lpstr>deltaw12_1</vt:lpstr>
      <vt:lpstr>deltaw12_2</vt:lpstr>
      <vt:lpstr>deltaw12_3</vt:lpstr>
      <vt:lpstr>deltaw21_1</vt:lpstr>
      <vt:lpstr>deltaw21_2</vt:lpstr>
      <vt:lpstr>deltaw22_1</vt:lpstr>
      <vt:lpstr>deltaw22_2</vt:lpstr>
      <vt:lpstr>deltaw23_1</vt:lpstr>
      <vt:lpstr>deltaw23_2</vt:lpstr>
      <vt:lpstr>deltaw31_1</vt:lpstr>
      <vt:lpstr>deltaw32_1</vt:lpstr>
      <vt:lpstr>dZ1_1</vt:lpstr>
      <vt:lpstr>dZ1_2</vt:lpstr>
      <vt:lpstr>dZ1_3</vt:lpstr>
      <vt:lpstr>dZ2_1</vt:lpstr>
      <vt:lpstr>dZ2_2</vt:lpstr>
      <vt:lpstr>dZL</vt:lpstr>
      <vt:lpstr>w11_1</vt:lpstr>
      <vt:lpstr>w11_2</vt:lpstr>
      <vt:lpstr>w11_3</vt:lpstr>
      <vt:lpstr>w12_1</vt:lpstr>
      <vt:lpstr>w12_2</vt:lpstr>
      <vt:lpstr>w12_3</vt:lpstr>
      <vt:lpstr>w21_1</vt:lpstr>
      <vt:lpstr>w21_2</vt:lpstr>
      <vt:lpstr>w22_1</vt:lpstr>
      <vt:lpstr>w22_2</vt:lpstr>
      <vt:lpstr>w23_1</vt:lpstr>
      <vt:lpstr>w23_2</vt:lpstr>
      <vt:lpstr>w31_1</vt:lpstr>
      <vt:lpstr>w32_1</vt:lpstr>
      <vt:lpstr>X_1</vt:lpstr>
      <vt:lpstr>X_2</vt:lpstr>
      <vt:lpstr>Y</vt:lpstr>
      <vt:lpstr>Y_pred</vt:lpstr>
      <vt:lpstr>y_pred_arr</vt:lpstr>
      <vt:lpstr>z_3</vt:lpstr>
      <vt:lpstr>z1_1</vt:lpstr>
      <vt:lpstr>z1_2</vt:lpstr>
      <vt:lpstr>z1_3</vt:lpstr>
      <vt:lpstr>Z2_1</vt:lpstr>
      <vt:lpstr>Z2_2</vt:lpstr>
    </vt:vector>
  </TitlesOfParts>
  <Company>A2A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Proietti Antonio</dc:creator>
  <cp:lastModifiedBy>Proietti Antonio</cp:lastModifiedBy>
  <dcterms:created xsi:type="dcterms:W3CDTF">2024-03-18T08:43:06Z</dcterms:created>
  <dcterms:modified xsi:type="dcterms:W3CDTF">2024-07-31T07:03:12Z</dcterms:modified>
</cp:coreProperties>
</file>