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a2agroup-my.sharepoint.com/personal/antonio_proietti_a2a_it/Documents/Desktop/backup lavoro/File Antonio/ML Projects/"/>
    </mc:Choice>
  </mc:AlternateContent>
  <xr:revisionPtr revIDLastSave="13210" documentId="8_{A6AC87BE-D523-43D2-85EA-9EF6B0ECA5AD}" xr6:coauthVersionLast="47" xr6:coauthVersionMax="47" xr10:uidLastSave="{AB177CFF-1F4F-4F79-B517-4F74B2B61910}"/>
  <bookViews>
    <workbookView xWindow="-120" yWindow="-120" windowWidth="29040" windowHeight="15840" activeTab="3" xr2:uid="{F943EE72-912C-4F2B-B9AD-FA9735BAAAC3}"/>
  </bookViews>
  <sheets>
    <sheet name="Grafico1" sheetId="5" r:id="rId1"/>
    <sheet name="DATI" sheetId="4" r:id="rId2"/>
    <sheet name="PARAMETRI" sheetId="6" r:id="rId3"/>
    <sheet name="Grafo" sheetId="1" r:id="rId4"/>
  </sheets>
  <definedNames>
    <definedName name="a1_1">PARAMETRI!$M$2:$M$60</definedName>
    <definedName name="a1_2">PARAMETRI!$N$2:$N$60</definedName>
    <definedName name="a1_3">PARAMETRI!$O$2:$O$60</definedName>
    <definedName name="a2_1">PARAMETRI!$Z$2:$Z$60</definedName>
    <definedName name="a2_2">PARAMETRI!$AA$2:$AA$60</definedName>
    <definedName name="beta1_1">PARAMETRI!$A$2:$A$60</definedName>
    <definedName name="beta1_2">PARAMETRI!$B$2:$B$60</definedName>
    <definedName name="beta1_3">PARAMETRI!$C$2:$C$60</definedName>
    <definedName name="beta2_1">PARAMETRI!$P$2:$P$60</definedName>
    <definedName name="beta2_2">PARAMETRI!$Q$2:$Q$60</definedName>
    <definedName name="beta3">PARAMETRI!$AB$2:$AB$60</definedName>
    <definedName name="deltabeta1_1">PARAMETRI!$AO$2:$AO$60</definedName>
    <definedName name="deltabeta1_2">PARAMETRI!$AP$2:$AP$60</definedName>
    <definedName name="deltabeta1_3">PARAMETRI!$AQ$2:$AQ$60</definedName>
    <definedName name="deltabeta2_1">PARAMETRI!$AX$2:$AX$60</definedName>
    <definedName name="deltabeta2_2">PARAMETRI!$AY$2:$AY$60</definedName>
    <definedName name="deltabeta3">PARAMETRI!$BF$2:$BF$60</definedName>
    <definedName name="deltaw11_1">PARAMETRI!$AR$2:$AR$60</definedName>
    <definedName name="deltaw11_2">PARAMETRI!$AS$2:$AS$60</definedName>
    <definedName name="deltaw11_3">PARAMETRI!$AT$2:$AT$60</definedName>
    <definedName name="deltaw12_1">PARAMETRI!$AU$2:$AU$60</definedName>
    <definedName name="deltaw12_2">PARAMETRI!$AV$2:$AV$60</definedName>
    <definedName name="deltaw12_3">PARAMETRI!$AW$2:$AW$60</definedName>
    <definedName name="deltaw21_1">PARAMETRI!$AZ$2:$AZ$60</definedName>
    <definedName name="deltaw21_2">PARAMETRI!$BA$2:$BA$60</definedName>
    <definedName name="deltaw22_1">PARAMETRI!$BB$2:$BB$60</definedName>
    <definedName name="deltaw22_2">PARAMETRI!$BC$2:$BC$60</definedName>
    <definedName name="deltaw23_1">PARAMETRI!$BD$2:$BD$60</definedName>
    <definedName name="deltaw23_2">PARAMETRI!$BE$2:$BE$60</definedName>
    <definedName name="deltaw31_1">PARAMETRI!$BG$2:$BG$60</definedName>
    <definedName name="deltaw32_1">PARAMETRI!$BH$2:$BH$60</definedName>
    <definedName name="dZ1_1">PARAMETRI!$AJ$2:$AJ$60</definedName>
    <definedName name="dZ1_2">PARAMETRI!$AK$2:$AK$60</definedName>
    <definedName name="dZ1_3">PARAMETRI!$AL$2:$AL$60</definedName>
    <definedName name="dZ2_1">PARAMETRI!$AH$2:$AH$60</definedName>
    <definedName name="dZ2_2">PARAMETRI!$AI$2:$AI$60</definedName>
    <definedName name="dZL">PARAMETRI!$AG$2:$AG$60</definedName>
    <definedName name="w11_1">PARAMETRI!$D$2:$D$60</definedName>
    <definedName name="w11_2">PARAMETRI!$E$2:$E$60</definedName>
    <definedName name="w11_3">PARAMETRI!$F$2:$F$60</definedName>
    <definedName name="w12_1">PARAMETRI!$G$2:$G$60</definedName>
    <definedName name="w12_2">PARAMETRI!$H$2:$H$60</definedName>
    <definedName name="w12_3">PARAMETRI!$I$2:$I$60</definedName>
    <definedName name="w21_1">PARAMETRI!$R$2:$R$60</definedName>
    <definedName name="w21_2">PARAMETRI!$S$2:$S$60</definedName>
    <definedName name="w22_1">PARAMETRI!$T$2:$T$60</definedName>
    <definedName name="w22_2">PARAMETRI!$U$2:$U$60</definedName>
    <definedName name="w23_1">PARAMETRI!$V$2:$V$60</definedName>
    <definedName name="w23_2">PARAMETRI!$W$2:$W$60</definedName>
    <definedName name="w31_1">PARAMETRI!$AC$2:$AC$60</definedName>
    <definedName name="w32_1">PARAMETRI!$AD$2:$AD$60</definedName>
    <definedName name="X_1">DATI!$A$2:$A$60</definedName>
    <definedName name="X_2">DATI!$B$2:$B$60</definedName>
    <definedName name="Y">DATI!$C$2:$C$60</definedName>
    <definedName name="Y_pred">PARAMETRI!$AE$2:$AE$60</definedName>
    <definedName name="y_pred_arr">PARAMETRI!$AF$2:$AF$60</definedName>
    <definedName name="z1_1">PARAMETRI!$J$2:$J$60</definedName>
    <definedName name="z1_2">PARAMETRI!$K$2:$K$60</definedName>
    <definedName name="z1_3">PARAMETRI!$L$2:$L$60</definedName>
    <definedName name="Z2_1">PARAMETRI!$X$2:$X$60</definedName>
    <definedName name="Z2_2">PARAMETRI!$Y$2:$Y$60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 a="1"/>
  <c r="T5" i="1" s="1"/>
  <c r="T4" i="1"/>
  <c r="BD1" i="6" l="1"/>
  <c r="BE1" i="6"/>
  <c r="BF1" i="6"/>
  <c r="BG1" i="6"/>
  <c r="BH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AO1" i="6"/>
  <c r="L2" i="6" l="1" a="1"/>
  <c r="L2" i="6" s="1"/>
  <c r="O2" i="6" s="1" a="1"/>
  <c r="O2" i="6" s="1"/>
  <c r="K2" i="6" a="1"/>
  <c r="K2" i="6" s="1"/>
  <c r="N2" i="6" s="1" a="1"/>
  <c r="N2" i="6" s="1"/>
  <c r="J2" i="6" a="1"/>
  <c r="J2" i="6" s="1"/>
  <c r="M2" i="6" s="1" a="1"/>
  <c r="M2" i="6" s="1"/>
  <c r="Y2" i="6" l="1" a="1"/>
  <c r="Y2" i="6" s="1"/>
  <c r="AA2" i="6" s="1" a="1"/>
  <c r="AA2" i="6" s="1"/>
  <c r="X2" i="6" a="1"/>
  <c r="X2" i="6" s="1"/>
  <c r="Z2" i="6" s="1" a="1"/>
  <c r="Z2" i="6" s="1"/>
  <c r="AE2" i="6" l="1" a="1"/>
  <c r="AE2" i="6" s="1"/>
  <c r="AG2" i="6" l="1" a="1"/>
  <c r="AG2" i="6" s="1"/>
  <c r="AH2" i="6" s="1" a="1"/>
  <c r="AH2" i="6" s="1"/>
  <c r="BB2" i="6" s="1" a="1"/>
  <c r="BB2" i="6" s="1"/>
  <c r="AF2" i="6" a="1"/>
  <c r="AF2" i="6" s="1"/>
  <c r="AI2" i="6" l="1" a="1"/>
  <c r="AI2" i="6" s="1"/>
  <c r="AJ2" i="6" s="1" a="1"/>
  <c r="AJ2" i="6" s="1"/>
  <c r="AR2" i="6" s="1" a="1"/>
  <c r="AR2" i="6" s="1"/>
  <c r="BH2" i="6" a="1"/>
  <c r="BH2" i="6" s="1"/>
  <c r="BG2" i="6" a="1"/>
  <c r="BG2" i="6" s="1"/>
  <c r="BF2" i="6" a="1"/>
  <c r="BF2" i="6" s="1"/>
  <c r="AX2" i="6" a="1"/>
  <c r="AX2" i="6" s="1"/>
  <c r="BD2" i="6" a="1"/>
  <c r="BD2" i="6" s="1"/>
  <c r="AZ2" i="6" a="1"/>
  <c r="AZ2" i="6" s="1"/>
  <c r="AK2" i="6" l="1" a="1"/>
  <c r="AK2" i="6" s="1"/>
  <c r="AV2" i="6" s="1" a="1"/>
  <c r="AV2" i="6" s="1"/>
  <c r="AY2" i="6" a="1"/>
  <c r="AY2" i="6" s="1"/>
  <c r="BE2" i="6" a="1"/>
  <c r="BE2" i="6" s="1"/>
  <c r="BC2" i="6" a="1"/>
  <c r="BC2" i="6" s="1"/>
  <c r="BA2" i="6" a="1"/>
  <c r="BA2" i="6" s="1"/>
  <c r="AL2" i="6" a="1"/>
  <c r="AL2" i="6" s="1"/>
  <c r="AW2" i="6" s="1" a="1"/>
  <c r="AW2" i="6" s="1"/>
  <c r="AU2" i="6" a="1"/>
  <c r="AU2" i="6" s="1"/>
  <c r="AO2" i="6" a="1"/>
  <c r="AO2" i="6" s="1"/>
  <c r="AP2" i="6" l="1" a="1"/>
  <c r="AP2" i="6" s="1"/>
  <c r="AS2" i="6" a="1"/>
  <c r="AS2" i="6" s="1"/>
  <c r="AM2" i="6" a="1"/>
  <c r="AM2" i="6" s="1"/>
  <c r="AQ2" i="6" a="1"/>
  <c r="AQ2" i="6" s="1"/>
  <c r="AN2" i="6" a="1"/>
  <c r="AN2" i="6" s="1"/>
  <c r="AT2" i="6" a="1"/>
  <c r="AT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<sst xmlns="http://schemas.openxmlformats.org/spreadsheetml/2006/main" count="68" uniqueCount="55">
  <si>
    <t>X1</t>
  </si>
  <si>
    <t>X2</t>
  </si>
  <si>
    <t>a1_1</t>
  </si>
  <si>
    <t>a1_2</t>
  </si>
  <si>
    <t>a1_3</t>
  </si>
  <si>
    <t>a2_1</t>
  </si>
  <si>
    <t>a2_2</t>
  </si>
  <si>
    <t>y^</t>
  </si>
  <si>
    <t>Y</t>
  </si>
  <si>
    <t>backpropagation</t>
  </si>
  <si>
    <t>Output</t>
  </si>
  <si>
    <t>dZL</t>
  </si>
  <si>
    <t>dZ2_1</t>
  </si>
  <si>
    <t>dZ2_2</t>
  </si>
  <si>
    <t>dZ1_1</t>
  </si>
  <si>
    <t>dZ1_2</t>
  </si>
  <si>
    <t>dZ1_3</t>
  </si>
  <si>
    <t>dZ0_1</t>
  </si>
  <si>
    <t>dZ0_2</t>
  </si>
  <si>
    <t>beta1_1</t>
  </si>
  <si>
    <t>beta1_2</t>
  </si>
  <si>
    <t>beta1_3</t>
  </si>
  <si>
    <t>w11_1</t>
  </si>
  <si>
    <t>w11_2</t>
  </si>
  <si>
    <t>w11_3</t>
  </si>
  <si>
    <t>w12_1</t>
  </si>
  <si>
    <t>w12_2</t>
  </si>
  <si>
    <t>w12_3</t>
  </si>
  <si>
    <t>z1_1</t>
  </si>
  <si>
    <t>z1_2</t>
  </si>
  <si>
    <t>z1_3</t>
  </si>
  <si>
    <t>beta2_1</t>
  </si>
  <si>
    <t>beta2_2</t>
  </si>
  <si>
    <t>w21_1</t>
  </si>
  <si>
    <t>w21_2</t>
  </si>
  <si>
    <t>w22_1</t>
  </si>
  <si>
    <t>w22_2</t>
  </si>
  <si>
    <t>w23_1</t>
  </si>
  <si>
    <t>w23_2</t>
  </si>
  <si>
    <t>beta3</t>
  </si>
  <si>
    <t>w31_1</t>
  </si>
  <si>
    <t>Z2_1</t>
  </si>
  <si>
    <t>Z2_2</t>
  </si>
  <si>
    <t>Y^</t>
  </si>
  <si>
    <t>feedforward</t>
  </si>
  <si>
    <t>Accuracy</t>
  </si>
  <si>
    <t>Y^arr</t>
  </si>
  <si>
    <t>LOSS</t>
  </si>
  <si>
    <t>dZL = (Y - Y^) Y^ (1-Y) Xi</t>
  </si>
  <si>
    <t>dZ2_1 = dZL * a2_1*W31_1</t>
  </si>
  <si>
    <t>dZ2_1 = dZL * a2_2*W32_1</t>
  </si>
  <si>
    <t>dZ1_1 = dZ2_1 * a1_1  * w21_1 + dZ2_2*a1_1*w21_2</t>
  </si>
  <si>
    <t>dZ1_2 = dZ2_1 * a1_1  * w22_1 + dZ2_2*a1_1*w22_2</t>
  </si>
  <si>
    <t>dZ1_3 = dZ2_1 * a1_1  * w23_1 + dZ2_2*a1_1*w23_2</t>
  </si>
  <si>
    <t>One epoch at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</si>
</sst>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2" xfId="0" applyBorder="1"/>
    <xf numFmtId="0" fontId="1" fillId="0" borderId="0" xfId="0" applyFont="1" applyAlignment="1">
      <alignment horizontal="center"/>
    </xf>
    <xf numFmtId="0" fontId="0" fillId="2" borderId="0" xfId="0" applyFill="1"/>
    <xf numFmtId="164" fontId="0" fillId="3" borderId="0" xfId="0" applyNumberFormat="1" applyFill="1" applyBorder="1"/>
    <xf numFmtId="164" fontId="0" fillId="4" borderId="0" xfId="0" applyNumberFormat="1" applyFill="1" applyBorder="1"/>
    <xf numFmtId="0" fontId="0" fillId="0" borderId="0" xfId="0" applyBorder="1"/>
    <xf numFmtId="0" fontId="3" fillId="2" borderId="0" xfId="0" applyFont="1" applyFill="1"/>
    <xf numFmtId="0" fontId="3" fillId="2" borderId="5" xfId="0" applyFont="1" applyFill="1" applyBorder="1"/>
    <xf numFmtId="0" fontId="0" fillId="0" borderId="5" xfId="0" applyBorder="1"/>
    <xf numFmtId="164" fontId="0" fillId="3" borderId="5" xfId="0" applyNumberFormat="1" applyFill="1" applyBorder="1"/>
    <xf numFmtId="164" fontId="0" fillId="4" borderId="5" xfId="0" applyNumberFormat="1" applyFill="1" applyBorder="1"/>
    <xf numFmtId="0" fontId="0" fillId="0" borderId="7" xfId="0" applyBorder="1"/>
    <xf numFmtId="0" fontId="0" fillId="0" borderId="6" xfId="0" applyBorder="1"/>
    <xf numFmtId="164" fontId="0" fillId="5" borderId="8" xfId="0" applyNumberFormat="1" applyFill="1" applyBorder="1"/>
    <xf numFmtId="0" fontId="0" fillId="0" borderId="8" xfId="0" applyBorder="1"/>
    <xf numFmtId="0" fontId="0" fillId="0" borderId="9" xfId="0" applyBorder="1"/>
    <xf numFmtId="164" fontId="0" fillId="6" borderId="0" xfId="0" applyNumberFormat="1" applyFill="1" applyBorder="1"/>
    <xf numFmtId="0" fontId="0" fillId="2" borderId="0" xfId="0" applyFill="1" applyBorder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3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DATI!$B$1</c:f>
              <c:strCache>
                <c:ptCount val="1"/>
                <c:pt idx="0">
                  <c:v>X2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EC9590-5B9D-4636-9839-E6EE01BC1C14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FF8-4B96-A43D-82EEA73834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5C8535-553D-4F59-A12B-F6DF59AE34B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8-4B96-A43D-82EEA73834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B4F6CE-110C-45FA-BC21-7C07C402F0D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8-4B96-A43D-82EEA73834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4B9020-4418-453F-9119-EBBD8045713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8-4B96-A43D-82EEA73834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914386-B15B-4D39-BD72-3E552429144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8-4B96-A43D-82EEA73834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4A2701-366B-46EE-A0DF-1246427E5C1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8-4B96-A43D-82EEA73834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2A9E3C-BE98-4EEF-BC34-9C1BA85A9E7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8-4B96-A43D-82EEA73834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B358D2-59A1-4D1D-8C96-0A46791F10B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8-4B96-A43D-82EEA73834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DB4B0B-5AD1-4113-A885-6CB40FFCA65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8-4B96-A43D-82EEA73834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5A1F1D-2213-4649-868D-7BA35E25146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8-4B96-A43D-82EEA73834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83377D-F2AE-4F7F-9F77-9979FB2C553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8-4B96-A43D-82EEA73834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C8B5D0-EFEA-430B-98AC-C5F35936C35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8-4B96-A43D-82EEA73834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E93355-497C-4789-A032-B4FDDB69AAD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8-4B96-A43D-82EEA73834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FC0674-7495-4401-8F10-AC51E7ED146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8-4B96-A43D-82EEA73834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8941B0-A6D9-436C-BD96-46A787C6A80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8-4B96-A43D-82EEA73834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16D7A9-3C90-4F4E-9834-A59F51E0B2A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8-4B96-A43D-82EEA73834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EDACEB-40E7-4423-9ACF-D2B66028351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8-4B96-A43D-82EEA73834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210629-21F5-43B6-9376-6152F46C107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8-4B96-A43D-82EEA73834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9CD9F4-6213-4671-96CF-39CDAE92C74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8-4B96-A43D-82EEA73834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25AD51-A7AB-4415-8DBA-D016F3D2E6A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8-4B96-A43D-82EEA73834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68B895-1B15-4014-A50B-7EDA2E10056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8-4B96-A43D-82EEA73834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B4FF35-81CF-4299-981D-293F848054A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8-4B96-A43D-82EEA73834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BDAE86-2315-43C9-AEEB-24AC0C90152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8-4B96-A43D-82EEA73834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04F43C-0793-40B0-8F86-878A8B9F7D3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8-4B96-A43D-82EEA73834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A385D9-52D2-4BB1-A07A-C37ABE2B3C8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8-4B96-A43D-82EEA73834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27F049-39ED-4AEB-B341-2FB7B53848E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8-4B96-A43D-82EEA73834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8AA5F4-61D4-48CB-B7F8-DD790B99730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8-4B96-A43D-82EEA73834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BE5FA6-6310-4175-BFD1-A898772B7B9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8-4B96-A43D-82EEA73834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29BA35-A103-4EC6-B713-8027F57699F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8-4B96-A43D-82EEA73834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4BE81B-838B-4D85-999C-E59846C1B03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8-4B96-A43D-82EEA73834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9C64CE-C5DD-42B3-9E4E-041B0C1F38E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8-4B96-A43D-82EEA73834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3ED6A1-71A2-46CB-9E41-D623EDB8A57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8-4B96-A43D-82EEA73834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09E02F-EA1D-4F50-93D8-364F24A0AA2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8-4B96-A43D-82EEA73834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44AEEB-F193-4DAA-AFB8-53F6A197B1F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8-4B96-A43D-82EEA73834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11B615-5970-4BF2-8591-449FEF58CB9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8-4B96-A43D-82EEA73834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2F2825-2B26-4C69-BF36-35063750A0B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8-4B96-A43D-82EEA73834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3E3EDB-981C-4229-B3E0-0DD1BA45BB5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8-4B96-A43D-82EEA73834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1CA323-5446-4CA7-ACE8-4A4F2D51201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8-4B96-A43D-82EEA73834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A5AFB6-98B3-4C66-A150-76D22D0EB4C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8-4B96-A43D-82EEA73834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CC6127-4644-489C-8C9E-ADAD02EA979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8-4B96-A43D-82EEA73834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3B37FD-8BA2-4388-BB5B-71E7CA8A394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8-4B96-A43D-82EEA73834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F81817-3448-48A6-88B0-C80045BC9A5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8-4B96-A43D-82EEA73834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DCFDC3-31CC-4C9E-8A76-8AB5F3350CB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8-4B96-A43D-82EEA73834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EE0821-AC95-49B7-8FA4-29B158B4DEA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8-4B96-A43D-82EEA73834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D05104-716F-453F-9F85-CA3FA93E98F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8-4B96-A43D-82EEA73834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EF940E-68C4-4B96-91C1-E27C75FE2C1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8-4B96-A43D-82EEA73834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069E7E-22B9-410F-896B-8A058E5E879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8-4B96-A43D-82EEA73834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7D0E9B-02A0-4154-9AE7-1232D4A4D56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8-4B96-A43D-82EEA73834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C46E2A-E1BD-45BC-8592-80DDA28F93A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8-4B96-A43D-82EEA73834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75F37D-7464-489C-96D7-14CA3146F03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8-4B96-A43D-82EEA73834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E428AA-EB2F-415C-B8F4-0FBCA354BD1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8-4B96-A43D-82EEA73834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C95EDF-AE73-4947-95F4-796F5C82A91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8-4B96-A43D-82EEA73834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47FC44-4952-48A2-B458-754B6E4CB72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8-4B96-A43D-82EEA73834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7FA085-0277-48AA-9FDE-A7274EEC0F2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8-4B96-A43D-82EEA73834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3036A5-E44D-47BE-98EF-0D8B925DB79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8-4B96-A43D-82EEA73834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B5C4C4-4CF8-459D-89B0-57BAD0909FE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8-4B96-A43D-82EEA73834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18451C-7068-4473-A2D5-61E30D213C6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8-4B96-A43D-82EEA73834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DFC96D-30D3-471B-B8C6-6DEA5FFFA8D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8-4B96-A43D-82EEA73834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EB2940-3396-4418-A9BE-D04CD256AD4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8-4B96-A43D-82EEA7383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DATI!$A$2:$A$60</c:f>
              <c:numCache>
                <c:formatCode>General</c:formatCode>
                <c:ptCount val="59"/>
                <c:pt idx="0">
                  <c:v>25</c:v>
                </c:pt>
                <c:pt idx="1">
                  <c:v>2</c:v>
                </c:pt>
                <c:pt idx="2">
                  <c:v>8</c:v>
                </c:pt>
                <c:pt idx="3">
                  <c:v>3</c:v>
                </c:pt>
                <c:pt idx="4">
                  <c:v>17</c:v>
                </c:pt>
                <c:pt idx="5">
                  <c:v>21</c:v>
                </c:pt>
                <c:pt idx="6">
                  <c:v>0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6</c:v>
                </c:pt>
                <c:pt idx="11">
                  <c:v>2</c:v>
                </c:pt>
                <c:pt idx="12">
                  <c:v>23</c:v>
                </c:pt>
                <c:pt idx="13">
                  <c:v>25</c:v>
                </c:pt>
                <c:pt idx="14">
                  <c:v>25</c:v>
                </c:pt>
                <c:pt idx="15">
                  <c:v>23</c:v>
                </c:pt>
                <c:pt idx="16">
                  <c:v>0</c:v>
                </c:pt>
                <c:pt idx="17">
                  <c:v>13</c:v>
                </c:pt>
                <c:pt idx="18">
                  <c:v>11</c:v>
                </c:pt>
                <c:pt idx="19">
                  <c:v>20</c:v>
                </c:pt>
                <c:pt idx="20">
                  <c:v>21</c:v>
                </c:pt>
                <c:pt idx="21">
                  <c:v>2</c:v>
                </c:pt>
                <c:pt idx="22">
                  <c:v>8</c:v>
                </c:pt>
                <c:pt idx="23">
                  <c:v>11</c:v>
                </c:pt>
                <c:pt idx="24">
                  <c:v>21</c:v>
                </c:pt>
                <c:pt idx="25">
                  <c:v>20</c:v>
                </c:pt>
                <c:pt idx="26">
                  <c:v>3</c:v>
                </c:pt>
                <c:pt idx="27">
                  <c:v>24</c:v>
                </c:pt>
                <c:pt idx="28">
                  <c:v>24</c:v>
                </c:pt>
                <c:pt idx="29">
                  <c:v>44</c:v>
                </c:pt>
                <c:pt idx="30">
                  <c:v>37</c:v>
                </c:pt>
                <c:pt idx="31">
                  <c:v>33</c:v>
                </c:pt>
                <c:pt idx="32">
                  <c:v>36</c:v>
                </c:pt>
                <c:pt idx="33">
                  <c:v>46</c:v>
                </c:pt>
                <c:pt idx="34">
                  <c:v>36</c:v>
                </c:pt>
                <c:pt idx="35">
                  <c:v>48</c:v>
                </c:pt>
                <c:pt idx="36">
                  <c:v>50</c:v>
                </c:pt>
                <c:pt idx="37">
                  <c:v>57</c:v>
                </c:pt>
                <c:pt idx="38">
                  <c:v>31</c:v>
                </c:pt>
                <c:pt idx="39">
                  <c:v>31</c:v>
                </c:pt>
                <c:pt idx="40">
                  <c:v>57</c:v>
                </c:pt>
                <c:pt idx="41">
                  <c:v>56</c:v>
                </c:pt>
                <c:pt idx="42">
                  <c:v>51</c:v>
                </c:pt>
                <c:pt idx="43">
                  <c:v>30</c:v>
                </c:pt>
                <c:pt idx="44">
                  <c:v>33</c:v>
                </c:pt>
                <c:pt idx="45">
                  <c:v>43</c:v>
                </c:pt>
                <c:pt idx="46">
                  <c:v>49</c:v>
                </c:pt>
                <c:pt idx="47">
                  <c:v>40</c:v>
                </c:pt>
                <c:pt idx="48">
                  <c:v>56</c:v>
                </c:pt>
                <c:pt idx="49">
                  <c:v>40</c:v>
                </c:pt>
                <c:pt idx="50">
                  <c:v>41</c:v>
                </c:pt>
                <c:pt idx="51">
                  <c:v>47</c:v>
                </c:pt>
                <c:pt idx="52">
                  <c:v>46</c:v>
                </c:pt>
                <c:pt idx="53">
                  <c:v>38</c:v>
                </c:pt>
                <c:pt idx="54">
                  <c:v>60</c:v>
                </c:pt>
                <c:pt idx="55">
                  <c:v>53</c:v>
                </c:pt>
                <c:pt idx="56">
                  <c:v>36</c:v>
                </c:pt>
                <c:pt idx="57">
                  <c:v>47</c:v>
                </c:pt>
                <c:pt idx="58">
                  <c:v>40</c:v>
                </c:pt>
              </c:numCache>
            </c:numRef>
          </c:xVal>
          <c:yVal>
            <c:numRef>
              <c:f>DATI!$B$2:$B$60</c:f>
              <c:numCache>
                <c:formatCode>General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22</c:v>
                </c:pt>
                <c:pt idx="3">
                  <c:v>19</c:v>
                </c:pt>
                <c:pt idx="4">
                  <c:v>22</c:v>
                </c:pt>
                <c:pt idx="5">
                  <c:v>28</c:v>
                </c:pt>
                <c:pt idx="6">
                  <c:v>28</c:v>
                </c:pt>
                <c:pt idx="7">
                  <c:v>0</c:v>
                </c:pt>
                <c:pt idx="8">
                  <c:v>19</c:v>
                </c:pt>
                <c:pt idx="9">
                  <c:v>5</c:v>
                </c:pt>
                <c:pt idx="10">
                  <c:v>29</c:v>
                </c:pt>
                <c:pt idx="11">
                  <c:v>5</c:v>
                </c:pt>
                <c:pt idx="12">
                  <c:v>16</c:v>
                </c:pt>
                <c:pt idx="13">
                  <c:v>2</c:v>
                </c:pt>
                <c:pt idx="14">
                  <c:v>17</c:v>
                </c:pt>
                <c:pt idx="15">
                  <c:v>9</c:v>
                </c:pt>
                <c:pt idx="16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18</c:v>
                </c:pt>
                <c:pt idx="20">
                  <c:v>4</c:v>
                </c:pt>
                <c:pt idx="21">
                  <c:v>3</c:v>
                </c:pt>
                <c:pt idx="22">
                  <c:v>24</c:v>
                </c:pt>
                <c:pt idx="23">
                  <c:v>9</c:v>
                </c:pt>
                <c:pt idx="24">
                  <c:v>30</c:v>
                </c:pt>
                <c:pt idx="25">
                  <c:v>1</c:v>
                </c:pt>
                <c:pt idx="26">
                  <c:v>19</c:v>
                </c:pt>
                <c:pt idx="27">
                  <c:v>5</c:v>
                </c:pt>
                <c:pt idx="28">
                  <c:v>2</c:v>
                </c:pt>
                <c:pt idx="29">
                  <c:v>44</c:v>
                </c:pt>
                <c:pt idx="30">
                  <c:v>43</c:v>
                </c:pt>
                <c:pt idx="31">
                  <c:v>41</c:v>
                </c:pt>
                <c:pt idx="32">
                  <c:v>50</c:v>
                </c:pt>
                <c:pt idx="33">
                  <c:v>65</c:v>
                </c:pt>
                <c:pt idx="34">
                  <c:v>55</c:v>
                </c:pt>
                <c:pt idx="35">
                  <c:v>67</c:v>
                </c:pt>
                <c:pt idx="36">
                  <c:v>62</c:v>
                </c:pt>
                <c:pt idx="37">
                  <c:v>67</c:v>
                </c:pt>
                <c:pt idx="38">
                  <c:v>59</c:v>
                </c:pt>
                <c:pt idx="39">
                  <c:v>66</c:v>
                </c:pt>
                <c:pt idx="40">
                  <c:v>40</c:v>
                </c:pt>
                <c:pt idx="41">
                  <c:v>69</c:v>
                </c:pt>
                <c:pt idx="42">
                  <c:v>58</c:v>
                </c:pt>
                <c:pt idx="43">
                  <c:v>45</c:v>
                </c:pt>
                <c:pt idx="44">
                  <c:v>64</c:v>
                </c:pt>
                <c:pt idx="45">
                  <c:v>65</c:v>
                </c:pt>
                <c:pt idx="46">
                  <c:v>48</c:v>
                </c:pt>
                <c:pt idx="47">
                  <c:v>55</c:v>
                </c:pt>
                <c:pt idx="48">
                  <c:v>42</c:v>
                </c:pt>
                <c:pt idx="49">
                  <c:v>55</c:v>
                </c:pt>
                <c:pt idx="50">
                  <c:v>57</c:v>
                </c:pt>
                <c:pt idx="51">
                  <c:v>48</c:v>
                </c:pt>
                <c:pt idx="52">
                  <c:v>64</c:v>
                </c:pt>
                <c:pt idx="53">
                  <c:v>54</c:v>
                </c:pt>
                <c:pt idx="54">
                  <c:v>59</c:v>
                </c:pt>
                <c:pt idx="55">
                  <c:v>41</c:v>
                </c:pt>
                <c:pt idx="56">
                  <c:v>52</c:v>
                </c:pt>
                <c:pt idx="57">
                  <c:v>63</c:v>
                </c:pt>
                <c:pt idx="58">
                  <c:v>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DATI!$C$2:$C$60</c15:f>
                <c15:dlblRangeCache>
                  <c:ptCount val="5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1FF8-4B96-A43D-82EEA73834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6223919"/>
        <c:axId val="56239279"/>
      </c:scatterChart>
      <c:valAx>
        <c:axId val="5622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39279"/>
        <c:crosses val="autoZero"/>
        <c:crossBetween val="midCat"/>
      </c:valAx>
      <c:valAx>
        <c:axId val="5623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2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18FE1B-BED9-4B76-B602-BE5762443F2E}">
  <sheetPr codeName="Grafico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608BE07-2C0C-24DD-9AAD-BD3C787EA5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3" name="Connettore 2 2">
          <a:extLst>
            <a:ext uri="{FF2B5EF4-FFF2-40B4-BE49-F238E27FC236}">
              <a16:creationId xmlns:a16="http://schemas.microsoft.com/office/drawing/2014/main" id="{477F88D2-380C-1F3D-44BD-AF9777995B4F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4" name="Connettore 2 3">
          <a:extLst>
            <a:ext uri="{FF2B5EF4-FFF2-40B4-BE49-F238E27FC236}">
              <a16:creationId xmlns:a16="http://schemas.microsoft.com/office/drawing/2014/main" id="{AE0A1645-DEC5-4DA2-86E7-0EF91BE7F562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6" name="Connettore 2 5">
          <a:extLst>
            <a:ext uri="{FF2B5EF4-FFF2-40B4-BE49-F238E27FC236}">
              <a16:creationId xmlns:a16="http://schemas.microsoft.com/office/drawing/2014/main" id="{7AD62223-FA7B-4693-86DC-76539D8F1F3A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64E132F8-3E1F-40C0-A6E3-32B4E3BC23F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12" name="Connettore 2 11">
          <a:extLst>
            <a:ext uri="{FF2B5EF4-FFF2-40B4-BE49-F238E27FC236}">
              <a16:creationId xmlns:a16="http://schemas.microsoft.com/office/drawing/2014/main" id="{DD887F41-0F47-4E95-AA81-C2721B0CD68C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16" name="Connettore 2 15">
          <a:extLst>
            <a:ext uri="{FF2B5EF4-FFF2-40B4-BE49-F238E27FC236}">
              <a16:creationId xmlns:a16="http://schemas.microsoft.com/office/drawing/2014/main" id="{F8BD0DBD-C1A7-4194-8D0A-49319DBE74FC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23" name="Connettore 2 22">
          <a:extLst>
            <a:ext uri="{FF2B5EF4-FFF2-40B4-BE49-F238E27FC236}">
              <a16:creationId xmlns:a16="http://schemas.microsoft.com/office/drawing/2014/main" id="{73042879-FE21-9B8D-FCBD-99033A657AA5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24" name="Connettore 2 23">
          <a:extLst>
            <a:ext uri="{FF2B5EF4-FFF2-40B4-BE49-F238E27FC236}">
              <a16:creationId xmlns:a16="http://schemas.microsoft.com/office/drawing/2014/main" id="{2AE0F697-5A37-38C7-21CD-88DC2E06C69C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25" name="Connettore 2 24">
          <a:extLst>
            <a:ext uri="{FF2B5EF4-FFF2-40B4-BE49-F238E27FC236}">
              <a16:creationId xmlns:a16="http://schemas.microsoft.com/office/drawing/2014/main" id="{D2E10A2E-3C74-7FE9-1C3B-C9891932333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C6F47A8C-3432-1BE3-A8ED-5F5B9050C656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27" name="Connettore 2 26">
          <a:extLst>
            <a:ext uri="{FF2B5EF4-FFF2-40B4-BE49-F238E27FC236}">
              <a16:creationId xmlns:a16="http://schemas.microsoft.com/office/drawing/2014/main" id="{37CA3236-1E5A-8A8F-5C22-0624C7F80D5D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29" name="Connettore 2 28">
          <a:extLst>
            <a:ext uri="{FF2B5EF4-FFF2-40B4-BE49-F238E27FC236}">
              <a16:creationId xmlns:a16="http://schemas.microsoft.com/office/drawing/2014/main" id="{0ACA1BEB-409A-FE87-3F6E-DB4EF8BF4E1C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30" name="Connettore 2 29">
          <a:extLst>
            <a:ext uri="{FF2B5EF4-FFF2-40B4-BE49-F238E27FC236}">
              <a16:creationId xmlns:a16="http://schemas.microsoft.com/office/drawing/2014/main" id="{F563B13E-04A3-3832-3B3F-D1AC9F89331B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31" name="Connettore 2 30">
          <a:extLst>
            <a:ext uri="{FF2B5EF4-FFF2-40B4-BE49-F238E27FC236}">
              <a16:creationId xmlns:a16="http://schemas.microsoft.com/office/drawing/2014/main" id="{BEAFA11F-8474-4F5D-81AA-753AC3885FB2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32" name="Connettore 2 31">
          <a:extLst>
            <a:ext uri="{FF2B5EF4-FFF2-40B4-BE49-F238E27FC236}">
              <a16:creationId xmlns:a16="http://schemas.microsoft.com/office/drawing/2014/main" id="{FA8EB723-F0ED-FE12-EFDB-FD9A7308596F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41A6E5E5-427E-5417-7601-1CF81AEDD5BF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34" name="CasellaDiTesto 33">
          <a:extLst>
            <a:ext uri="{FF2B5EF4-FFF2-40B4-BE49-F238E27FC236}">
              <a16:creationId xmlns:a16="http://schemas.microsoft.com/office/drawing/2014/main" id="{B24A078E-FA3E-5E67-170A-08134D63CFEA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75BF17AB-E3D6-7BBA-80FA-249F01F902C1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7502C4D4-0535-2EDD-E263-27ABEF7EEE69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C8407FAA-89C2-2FB9-5D5F-E53DF3C63462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C5ED0D48-F544-C158-5FBA-CC7C2FD40C23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D80A663-7C07-713B-09F9-75B0DB09568C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E50BD28C-1F1E-08E9-D7DA-1FF8014F23D8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43" name="CasellaDiTesto 42">
          <a:extLst>
            <a:ext uri="{FF2B5EF4-FFF2-40B4-BE49-F238E27FC236}">
              <a16:creationId xmlns:a16="http://schemas.microsoft.com/office/drawing/2014/main" id="{FB039934-FE14-7DAC-18F8-C1244E97F01C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44" name="CasellaDiTesto 43">
          <a:extLst>
            <a:ext uri="{FF2B5EF4-FFF2-40B4-BE49-F238E27FC236}">
              <a16:creationId xmlns:a16="http://schemas.microsoft.com/office/drawing/2014/main" id="{2B9E87AA-EDDB-AAB3-1CE0-90DE3744787B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45" name="CasellaDiTesto 44">
          <a:extLst>
            <a:ext uri="{FF2B5EF4-FFF2-40B4-BE49-F238E27FC236}">
              <a16:creationId xmlns:a16="http://schemas.microsoft.com/office/drawing/2014/main" id="{807A9553-3D28-D98C-B486-4E206440D5E6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361E3D49-1473-A492-2B12-45752D107B4F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A4ABE527-5AA9-BEF8-1A82-879BC8B3E594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48" name="CasellaDiTesto 47">
          <a:extLst>
            <a:ext uri="{FF2B5EF4-FFF2-40B4-BE49-F238E27FC236}">
              <a16:creationId xmlns:a16="http://schemas.microsoft.com/office/drawing/2014/main" id="{AA408EDB-5265-6286-1AF9-1260694D1399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143435</xdr:rowOff>
        </xdr:from>
        <xdr:to>
          <xdr:col>16</xdr:col>
          <xdr:colOff>314325</xdr:colOff>
          <xdr:row>9</xdr:row>
          <xdr:rowOff>191061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50" name="Connettore 2 49">
          <a:extLst>
            <a:ext uri="{FF2B5EF4-FFF2-40B4-BE49-F238E27FC236}">
              <a16:creationId xmlns:a16="http://schemas.microsoft.com/office/drawing/2014/main" id="{BD3236FF-706C-4682-8CBD-2E0EF0C0B1C5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51" name="Connettore 2 50">
          <a:extLst>
            <a:ext uri="{FF2B5EF4-FFF2-40B4-BE49-F238E27FC236}">
              <a16:creationId xmlns:a16="http://schemas.microsoft.com/office/drawing/2014/main" id="{7BB2C913-0AE0-49B9-9A9A-1DBEE0A3D064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52" name="Connettore 2 51">
          <a:extLst>
            <a:ext uri="{FF2B5EF4-FFF2-40B4-BE49-F238E27FC236}">
              <a16:creationId xmlns:a16="http://schemas.microsoft.com/office/drawing/2014/main" id="{F4EFF41B-2D0B-498C-92F0-F59D12C1CFA6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53" name="Connettore 2 52">
          <a:extLst>
            <a:ext uri="{FF2B5EF4-FFF2-40B4-BE49-F238E27FC236}">
              <a16:creationId xmlns:a16="http://schemas.microsoft.com/office/drawing/2014/main" id="{E0E1BB1E-8BD8-4F72-979B-2517BCC444D9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54" name="Connettore 2 53">
          <a:extLst>
            <a:ext uri="{FF2B5EF4-FFF2-40B4-BE49-F238E27FC236}">
              <a16:creationId xmlns:a16="http://schemas.microsoft.com/office/drawing/2014/main" id="{B8211EDF-EE5B-4D27-B8CA-C5FD73056435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55" name="Connettore 2 54">
          <a:extLst>
            <a:ext uri="{FF2B5EF4-FFF2-40B4-BE49-F238E27FC236}">
              <a16:creationId xmlns:a16="http://schemas.microsoft.com/office/drawing/2014/main" id="{477DB702-0A60-4BA4-80BF-7DBB530964CA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56" name="Connettore 2 55">
          <a:extLst>
            <a:ext uri="{FF2B5EF4-FFF2-40B4-BE49-F238E27FC236}">
              <a16:creationId xmlns:a16="http://schemas.microsoft.com/office/drawing/2014/main" id="{7EFD6BB5-7E00-48ED-8410-8EDB6CAD22E5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57" name="Connettore 2 56">
          <a:extLst>
            <a:ext uri="{FF2B5EF4-FFF2-40B4-BE49-F238E27FC236}">
              <a16:creationId xmlns:a16="http://schemas.microsoft.com/office/drawing/2014/main" id="{092359B9-83F4-4F8E-9730-6CD8B55CE4F8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58" name="Connettore 2 57">
          <a:extLst>
            <a:ext uri="{FF2B5EF4-FFF2-40B4-BE49-F238E27FC236}">
              <a16:creationId xmlns:a16="http://schemas.microsoft.com/office/drawing/2014/main" id="{FE0C07EA-E717-41A2-BB6F-468A031B2AE4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59" name="Connettore 2 58">
          <a:extLst>
            <a:ext uri="{FF2B5EF4-FFF2-40B4-BE49-F238E27FC236}">
              <a16:creationId xmlns:a16="http://schemas.microsoft.com/office/drawing/2014/main" id="{71965F93-5650-47AE-9B7B-F0DD67D4878D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60" name="Connettore 2 59">
          <a:extLst>
            <a:ext uri="{FF2B5EF4-FFF2-40B4-BE49-F238E27FC236}">
              <a16:creationId xmlns:a16="http://schemas.microsoft.com/office/drawing/2014/main" id="{BE63BD2F-6E42-4D91-92C2-E313186FD5ED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61" name="Connettore 2 60">
          <a:extLst>
            <a:ext uri="{FF2B5EF4-FFF2-40B4-BE49-F238E27FC236}">
              <a16:creationId xmlns:a16="http://schemas.microsoft.com/office/drawing/2014/main" id="{15CFC84E-737E-4203-A2D5-DD260DBF50B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62" name="Connettore 2 61">
          <a:extLst>
            <a:ext uri="{FF2B5EF4-FFF2-40B4-BE49-F238E27FC236}">
              <a16:creationId xmlns:a16="http://schemas.microsoft.com/office/drawing/2014/main" id="{305F74DE-F0AC-464E-9F59-DEADDF5F4B7B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63" name="Connettore 2 62">
          <a:extLst>
            <a:ext uri="{FF2B5EF4-FFF2-40B4-BE49-F238E27FC236}">
              <a16:creationId xmlns:a16="http://schemas.microsoft.com/office/drawing/2014/main" id="{A0170CC3-641E-498C-AAEC-3EA5EDBF9811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1024" name="Connettore 2 1023">
          <a:extLst>
            <a:ext uri="{FF2B5EF4-FFF2-40B4-BE49-F238E27FC236}">
              <a16:creationId xmlns:a16="http://schemas.microsoft.com/office/drawing/2014/main" id="{DDE3E1A0-10BC-4510-AF06-67D8BC35EFD4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1025" name="CasellaDiTesto 1024">
          <a:extLst>
            <a:ext uri="{FF2B5EF4-FFF2-40B4-BE49-F238E27FC236}">
              <a16:creationId xmlns:a16="http://schemas.microsoft.com/office/drawing/2014/main" id="{13D8D716-D696-4AC8-9A58-2B14400BA342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1026" name="CasellaDiTesto 1025">
          <a:extLst>
            <a:ext uri="{FF2B5EF4-FFF2-40B4-BE49-F238E27FC236}">
              <a16:creationId xmlns:a16="http://schemas.microsoft.com/office/drawing/2014/main" id="{61266BA0-C8D5-4A39-9C39-FF0ADF6C1476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1027" name="CasellaDiTesto 1026">
          <a:extLst>
            <a:ext uri="{FF2B5EF4-FFF2-40B4-BE49-F238E27FC236}">
              <a16:creationId xmlns:a16="http://schemas.microsoft.com/office/drawing/2014/main" id="{1A462CE3-A722-4397-A889-16C8D875ECCE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1028" name="CasellaDiTesto 1027">
          <a:extLst>
            <a:ext uri="{FF2B5EF4-FFF2-40B4-BE49-F238E27FC236}">
              <a16:creationId xmlns:a16="http://schemas.microsoft.com/office/drawing/2014/main" id="{6AFC9ABD-5907-4F1E-A422-A3BF257D603E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1029" name="CasellaDiTesto 1028">
          <a:extLst>
            <a:ext uri="{FF2B5EF4-FFF2-40B4-BE49-F238E27FC236}">
              <a16:creationId xmlns:a16="http://schemas.microsoft.com/office/drawing/2014/main" id="{70C32F9D-0852-45A9-A0C9-D5961D765D1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1030" name="CasellaDiTesto 1029">
          <a:extLst>
            <a:ext uri="{FF2B5EF4-FFF2-40B4-BE49-F238E27FC236}">
              <a16:creationId xmlns:a16="http://schemas.microsoft.com/office/drawing/2014/main" id="{93936C2D-DF71-4B31-B54C-F64F4B7091CE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1031" name="CasellaDiTesto 1030">
          <a:extLst>
            <a:ext uri="{FF2B5EF4-FFF2-40B4-BE49-F238E27FC236}">
              <a16:creationId xmlns:a16="http://schemas.microsoft.com/office/drawing/2014/main" id="{5374B1AC-3CF6-46C7-82CF-E1A6671E8FA9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1032" name="CasellaDiTesto 1031">
          <a:extLst>
            <a:ext uri="{FF2B5EF4-FFF2-40B4-BE49-F238E27FC236}">
              <a16:creationId xmlns:a16="http://schemas.microsoft.com/office/drawing/2014/main" id="{371FE7B5-EFC7-4978-B683-9C95A52C9705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1035" name="CasellaDiTesto 1034">
          <a:extLst>
            <a:ext uri="{FF2B5EF4-FFF2-40B4-BE49-F238E27FC236}">
              <a16:creationId xmlns:a16="http://schemas.microsoft.com/office/drawing/2014/main" id="{A4647EC5-CF6F-4BC5-AD45-FE0B7B06094C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1036" name="CasellaDiTesto 1035">
          <a:extLst>
            <a:ext uri="{FF2B5EF4-FFF2-40B4-BE49-F238E27FC236}">
              <a16:creationId xmlns:a16="http://schemas.microsoft.com/office/drawing/2014/main" id="{E1E95B0F-F10E-4A43-A464-542BDB6CC292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1037" name="CasellaDiTesto 1036">
          <a:extLst>
            <a:ext uri="{FF2B5EF4-FFF2-40B4-BE49-F238E27FC236}">
              <a16:creationId xmlns:a16="http://schemas.microsoft.com/office/drawing/2014/main" id="{C2E3820E-C081-468D-A12B-DFEDBB793319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1038" name="CasellaDiTesto 1037">
          <a:extLst>
            <a:ext uri="{FF2B5EF4-FFF2-40B4-BE49-F238E27FC236}">
              <a16:creationId xmlns:a16="http://schemas.microsoft.com/office/drawing/2014/main" id="{E9129A8D-3DBB-4417-A49A-49232D733E65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1039" name="CasellaDiTesto 1038">
          <a:extLst>
            <a:ext uri="{FF2B5EF4-FFF2-40B4-BE49-F238E27FC236}">
              <a16:creationId xmlns:a16="http://schemas.microsoft.com/office/drawing/2014/main" id="{0C34038B-CCBA-4D46-BE20-F4A9C4EA6E87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1040" name="CasellaDiTesto 1039">
          <a:extLst>
            <a:ext uri="{FF2B5EF4-FFF2-40B4-BE49-F238E27FC236}">
              <a16:creationId xmlns:a16="http://schemas.microsoft.com/office/drawing/2014/main" id="{281DD90E-3F96-46BB-BC08-DDD14834DA76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1041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0B1A64F-9836-4406-84FA-31A59EF8F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1042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6F19BBF-89BE-4D7B-8D98-F3D565332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CE2BA-422A-43F6-812C-C7F8E4C02974}">
  <sheetPr codeName="Foglio2"/>
  <dimension ref="A1:C60"/>
  <sheetViews>
    <sheetView zoomScale="80" zoomScaleNormal="80" workbookViewId="0">
      <selection activeCell="O33" sqref="O33"/>
    </sheetView>
  </sheetViews>
  <sheetFormatPr defaultRowHeight="15" x14ac:dyDescent="0.25"/>
  <sheetData>
    <row r="1" spans="1:3" x14ac:dyDescent="0.25">
      <c r="A1" s="26" t="s">
        <v>0</v>
      </c>
      <c r="B1" s="26" t="s">
        <v>1</v>
      </c>
      <c r="C1" s="26" t="s">
        <v>8</v>
      </c>
    </row>
    <row r="2" spans="1:3" x14ac:dyDescent="0.25">
      <c r="A2">
        <v>25</v>
      </c>
      <c r="B2">
        <v>1</v>
      </c>
      <c r="C2">
        <v>0</v>
      </c>
    </row>
    <row r="3" spans="1:3" x14ac:dyDescent="0.25">
      <c r="A3">
        <v>2</v>
      </c>
      <c r="B3">
        <v>1</v>
      </c>
      <c r="C3">
        <v>0</v>
      </c>
    </row>
    <row r="4" spans="1:3" x14ac:dyDescent="0.25">
      <c r="A4">
        <v>8</v>
      </c>
      <c r="B4">
        <v>22</v>
      </c>
      <c r="C4">
        <v>0</v>
      </c>
    </row>
    <row r="5" spans="1:3" x14ac:dyDescent="0.25">
      <c r="A5">
        <v>3</v>
      </c>
      <c r="B5">
        <v>19</v>
      </c>
      <c r="C5">
        <v>0</v>
      </c>
    </row>
    <row r="6" spans="1:3" x14ac:dyDescent="0.25">
      <c r="A6">
        <v>17</v>
      </c>
      <c r="B6">
        <v>22</v>
      </c>
      <c r="C6">
        <v>0</v>
      </c>
    </row>
    <row r="7" spans="1:3" x14ac:dyDescent="0.25">
      <c r="A7">
        <v>21</v>
      </c>
      <c r="B7">
        <v>28</v>
      </c>
      <c r="C7">
        <v>0</v>
      </c>
    </row>
    <row r="8" spans="1:3" x14ac:dyDescent="0.25">
      <c r="A8">
        <v>0</v>
      </c>
      <c r="B8">
        <v>28</v>
      </c>
      <c r="C8">
        <v>0</v>
      </c>
    </row>
    <row r="9" spans="1:3" x14ac:dyDescent="0.25">
      <c r="A9">
        <v>24</v>
      </c>
      <c r="B9">
        <v>0</v>
      </c>
      <c r="C9">
        <v>0</v>
      </c>
    </row>
    <row r="10" spans="1:3" x14ac:dyDescent="0.25">
      <c r="A10">
        <v>0</v>
      </c>
      <c r="B10">
        <v>19</v>
      </c>
      <c r="C10">
        <v>0</v>
      </c>
    </row>
    <row r="11" spans="1:3" x14ac:dyDescent="0.25">
      <c r="A11">
        <v>24</v>
      </c>
      <c r="B11">
        <v>5</v>
      </c>
      <c r="C11">
        <v>0</v>
      </c>
    </row>
    <row r="12" spans="1:3" x14ac:dyDescent="0.25">
      <c r="A12">
        <v>6</v>
      </c>
      <c r="B12">
        <v>29</v>
      </c>
      <c r="C12">
        <v>0</v>
      </c>
    </row>
    <row r="13" spans="1:3" x14ac:dyDescent="0.25">
      <c r="A13">
        <v>2</v>
      </c>
      <c r="B13">
        <v>5</v>
      </c>
      <c r="C13">
        <v>0</v>
      </c>
    </row>
    <row r="14" spans="1:3" x14ac:dyDescent="0.25">
      <c r="A14">
        <v>23</v>
      </c>
      <c r="B14">
        <v>16</v>
      </c>
      <c r="C14">
        <v>0</v>
      </c>
    </row>
    <row r="15" spans="1:3" x14ac:dyDescent="0.25">
      <c r="A15">
        <v>25</v>
      </c>
      <c r="B15">
        <v>2</v>
      </c>
      <c r="C15">
        <v>0</v>
      </c>
    </row>
    <row r="16" spans="1:3" x14ac:dyDescent="0.25">
      <c r="A16">
        <v>25</v>
      </c>
      <c r="B16">
        <v>17</v>
      </c>
      <c r="C16">
        <v>0</v>
      </c>
    </row>
    <row r="17" spans="1:3" x14ac:dyDescent="0.25">
      <c r="A17">
        <v>23</v>
      </c>
      <c r="B17">
        <v>9</v>
      </c>
      <c r="C17">
        <v>0</v>
      </c>
    </row>
    <row r="18" spans="1:3" x14ac:dyDescent="0.25">
      <c r="A18">
        <v>0</v>
      </c>
      <c r="B18">
        <v>25</v>
      </c>
      <c r="C18">
        <v>0</v>
      </c>
    </row>
    <row r="19" spans="1:3" x14ac:dyDescent="0.25">
      <c r="A19">
        <v>13</v>
      </c>
      <c r="B19">
        <v>24</v>
      </c>
      <c r="C19">
        <v>0</v>
      </c>
    </row>
    <row r="20" spans="1:3" x14ac:dyDescent="0.25">
      <c r="A20">
        <v>11</v>
      </c>
      <c r="B20">
        <v>24</v>
      </c>
      <c r="C20">
        <v>0</v>
      </c>
    </row>
    <row r="21" spans="1:3" x14ac:dyDescent="0.25">
      <c r="A21">
        <v>20</v>
      </c>
      <c r="B21">
        <v>18</v>
      </c>
      <c r="C21">
        <v>0</v>
      </c>
    </row>
    <row r="22" spans="1:3" x14ac:dyDescent="0.25">
      <c r="A22">
        <v>21</v>
      </c>
      <c r="B22">
        <v>4</v>
      </c>
      <c r="C22">
        <v>0</v>
      </c>
    </row>
    <row r="23" spans="1:3" x14ac:dyDescent="0.25">
      <c r="A23">
        <v>2</v>
      </c>
      <c r="B23">
        <v>3</v>
      </c>
      <c r="C23">
        <v>0</v>
      </c>
    </row>
    <row r="24" spans="1:3" x14ac:dyDescent="0.25">
      <c r="A24">
        <v>8</v>
      </c>
      <c r="B24">
        <v>24</v>
      </c>
      <c r="C24">
        <v>0</v>
      </c>
    </row>
    <row r="25" spans="1:3" x14ac:dyDescent="0.25">
      <c r="A25">
        <v>11</v>
      </c>
      <c r="B25">
        <v>9</v>
      </c>
      <c r="C25">
        <v>0</v>
      </c>
    </row>
    <row r="26" spans="1:3" x14ac:dyDescent="0.25">
      <c r="A26">
        <v>21</v>
      </c>
      <c r="B26">
        <v>30</v>
      </c>
      <c r="C26">
        <v>0</v>
      </c>
    </row>
    <row r="27" spans="1:3" x14ac:dyDescent="0.25">
      <c r="A27">
        <v>20</v>
      </c>
      <c r="B27">
        <v>1</v>
      </c>
      <c r="C27">
        <v>0</v>
      </c>
    </row>
    <row r="28" spans="1:3" x14ac:dyDescent="0.25">
      <c r="A28">
        <v>3</v>
      </c>
      <c r="B28">
        <v>19</v>
      </c>
      <c r="C28">
        <v>0</v>
      </c>
    </row>
    <row r="29" spans="1:3" x14ac:dyDescent="0.25">
      <c r="A29">
        <v>24</v>
      </c>
      <c r="B29">
        <v>5</v>
      </c>
      <c r="C29">
        <v>0</v>
      </c>
    </row>
    <row r="30" spans="1:3" x14ac:dyDescent="0.25">
      <c r="A30">
        <v>24</v>
      </c>
      <c r="B30">
        <v>2</v>
      </c>
      <c r="C30">
        <v>0</v>
      </c>
    </row>
    <row r="31" spans="1:3" x14ac:dyDescent="0.25">
      <c r="A31">
        <v>44</v>
      </c>
      <c r="B31">
        <v>44</v>
      </c>
      <c r="C31">
        <v>1</v>
      </c>
    </row>
    <row r="32" spans="1:3" x14ac:dyDescent="0.25">
      <c r="A32">
        <v>37</v>
      </c>
      <c r="B32">
        <v>43</v>
      </c>
      <c r="C32">
        <v>1</v>
      </c>
    </row>
    <row r="33" spans="1:3" x14ac:dyDescent="0.25">
      <c r="A33">
        <v>33</v>
      </c>
      <c r="B33">
        <v>41</v>
      </c>
      <c r="C33">
        <v>1</v>
      </c>
    </row>
    <row r="34" spans="1:3" x14ac:dyDescent="0.25">
      <c r="A34">
        <v>36</v>
      </c>
      <c r="B34">
        <v>50</v>
      </c>
      <c r="C34">
        <v>1</v>
      </c>
    </row>
    <row r="35" spans="1:3" x14ac:dyDescent="0.25">
      <c r="A35">
        <v>46</v>
      </c>
      <c r="B35">
        <v>65</v>
      </c>
      <c r="C35">
        <v>1</v>
      </c>
    </row>
    <row r="36" spans="1:3" x14ac:dyDescent="0.25">
      <c r="A36">
        <v>36</v>
      </c>
      <c r="B36">
        <v>55</v>
      </c>
      <c r="C36">
        <v>1</v>
      </c>
    </row>
    <row r="37" spans="1:3" x14ac:dyDescent="0.25">
      <c r="A37">
        <v>48</v>
      </c>
      <c r="B37">
        <v>67</v>
      </c>
      <c r="C37">
        <v>1</v>
      </c>
    </row>
    <row r="38" spans="1:3" x14ac:dyDescent="0.25">
      <c r="A38">
        <v>50</v>
      </c>
      <c r="B38">
        <v>62</v>
      </c>
      <c r="C38">
        <v>1</v>
      </c>
    </row>
    <row r="39" spans="1:3" x14ac:dyDescent="0.25">
      <c r="A39">
        <v>57</v>
      </c>
      <c r="B39">
        <v>67</v>
      </c>
      <c r="C39">
        <v>1</v>
      </c>
    </row>
    <row r="40" spans="1:3" x14ac:dyDescent="0.25">
      <c r="A40">
        <v>31</v>
      </c>
      <c r="B40">
        <v>59</v>
      </c>
      <c r="C40">
        <v>1</v>
      </c>
    </row>
    <row r="41" spans="1:3" x14ac:dyDescent="0.25">
      <c r="A41">
        <v>31</v>
      </c>
      <c r="B41">
        <v>66</v>
      </c>
      <c r="C41">
        <v>1</v>
      </c>
    </row>
    <row r="42" spans="1:3" x14ac:dyDescent="0.25">
      <c r="A42">
        <v>57</v>
      </c>
      <c r="B42">
        <v>40</v>
      </c>
      <c r="C42">
        <v>1</v>
      </c>
    </row>
    <row r="43" spans="1:3" x14ac:dyDescent="0.25">
      <c r="A43">
        <v>56</v>
      </c>
      <c r="B43">
        <v>69</v>
      </c>
      <c r="C43">
        <v>1</v>
      </c>
    </row>
    <row r="44" spans="1:3" x14ac:dyDescent="0.25">
      <c r="A44">
        <v>51</v>
      </c>
      <c r="B44">
        <v>58</v>
      </c>
      <c r="C44">
        <v>1</v>
      </c>
    </row>
    <row r="45" spans="1:3" x14ac:dyDescent="0.25">
      <c r="A45">
        <v>30</v>
      </c>
      <c r="B45">
        <v>45</v>
      </c>
      <c r="C45">
        <v>1</v>
      </c>
    </row>
    <row r="46" spans="1:3" x14ac:dyDescent="0.25">
      <c r="A46">
        <v>33</v>
      </c>
      <c r="B46">
        <v>64</v>
      </c>
      <c r="C46">
        <v>1</v>
      </c>
    </row>
    <row r="47" spans="1:3" x14ac:dyDescent="0.25">
      <c r="A47">
        <v>43</v>
      </c>
      <c r="B47">
        <v>65</v>
      </c>
      <c r="C47">
        <v>1</v>
      </c>
    </row>
    <row r="48" spans="1:3" x14ac:dyDescent="0.25">
      <c r="A48">
        <v>49</v>
      </c>
      <c r="B48">
        <v>48</v>
      </c>
      <c r="C48">
        <v>1</v>
      </c>
    </row>
    <row r="49" spans="1:3" x14ac:dyDescent="0.25">
      <c r="A49">
        <v>40</v>
      </c>
      <c r="B49">
        <v>55</v>
      </c>
      <c r="C49">
        <v>1</v>
      </c>
    </row>
    <row r="50" spans="1:3" x14ac:dyDescent="0.25">
      <c r="A50">
        <v>56</v>
      </c>
      <c r="B50">
        <v>42</v>
      </c>
      <c r="C50">
        <v>1</v>
      </c>
    </row>
    <row r="51" spans="1:3" x14ac:dyDescent="0.25">
      <c r="A51">
        <v>40</v>
      </c>
      <c r="B51">
        <v>55</v>
      </c>
      <c r="C51">
        <v>1</v>
      </c>
    </row>
    <row r="52" spans="1:3" x14ac:dyDescent="0.25">
      <c r="A52">
        <v>41</v>
      </c>
      <c r="B52">
        <v>57</v>
      </c>
      <c r="C52">
        <v>1</v>
      </c>
    </row>
    <row r="53" spans="1:3" x14ac:dyDescent="0.25">
      <c r="A53">
        <v>47</v>
      </c>
      <c r="B53">
        <v>48</v>
      </c>
      <c r="C53">
        <v>1</v>
      </c>
    </row>
    <row r="54" spans="1:3" x14ac:dyDescent="0.25">
      <c r="A54">
        <v>46</v>
      </c>
      <c r="B54">
        <v>64</v>
      </c>
      <c r="C54">
        <v>1</v>
      </c>
    </row>
    <row r="55" spans="1:3" x14ac:dyDescent="0.25">
      <c r="A55">
        <v>38</v>
      </c>
      <c r="B55">
        <v>54</v>
      </c>
      <c r="C55">
        <v>1</v>
      </c>
    </row>
    <row r="56" spans="1:3" x14ac:dyDescent="0.25">
      <c r="A56">
        <v>60</v>
      </c>
      <c r="B56">
        <v>59</v>
      </c>
      <c r="C56">
        <v>1</v>
      </c>
    </row>
    <row r="57" spans="1:3" x14ac:dyDescent="0.25">
      <c r="A57">
        <v>53</v>
      </c>
      <c r="B57">
        <v>41</v>
      </c>
      <c r="C57">
        <v>1</v>
      </c>
    </row>
    <row r="58" spans="1:3" x14ac:dyDescent="0.25">
      <c r="A58">
        <v>36</v>
      </c>
      <c r="B58">
        <v>52</v>
      </c>
      <c r="C58">
        <v>1</v>
      </c>
    </row>
    <row r="59" spans="1:3" x14ac:dyDescent="0.25">
      <c r="A59">
        <v>47</v>
      </c>
      <c r="B59">
        <v>63</v>
      </c>
      <c r="C59">
        <v>1</v>
      </c>
    </row>
    <row r="60" spans="1:3" x14ac:dyDescent="0.25">
      <c r="A60">
        <v>40</v>
      </c>
      <c r="B60">
        <v>55</v>
      </c>
      <c r="C6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77D6-55C1-4570-8DCE-8DEA296AB9E3}">
  <sheetPr codeName="Foglio3"/>
  <dimension ref="A1:BH60"/>
  <sheetViews>
    <sheetView topLeftCell="T1" zoomScale="80" zoomScaleNormal="80" workbookViewId="0">
      <selection activeCell="AR2" sqref="AR2"/>
    </sheetView>
  </sheetViews>
  <sheetFormatPr defaultRowHeight="15" x14ac:dyDescent="0.25"/>
  <cols>
    <col min="1" max="32" width="9.140625" style="6"/>
    <col min="33" max="38" width="10.28515625" style="6" customWidth="1"/>
    <col min="39" max="39" width="10" style="6" customWidth="1"/>
    <col min="40" max="40" width="10.140625" style="6" customWidth="1"/>
    <col min="41" max="43" width="12.7109375" style="6" bestFit="1" customWidth="1"/>
    <col min="44" max="47" width="13.7109375" style="6" bestFit="1" customWidth="1"/>
    <col min="48" max="48" width="11.28515625" style="6" bestFit="1" customWidth="1"/>
    <col min="49" max="49" width="13.7109375" style="6" bestFit="1" customWidth="1"/>
    <col min="50" max="51" width="12.7109375" style="6" bestFit="1" customWidth="1"/>
    <col min="52" max="52" width="13.7109375" style="6" bestFit="1" customWidth="1"/>
    <col min="53" max="53" width="12.7109375" style="6" bestFit="1" customWidth="1"/>
    <col min="54" max="57" width="13.7109375" style="6" bestFit="1" customWidth="1"/>
    <col min="58" max="58" width="12.7109375" style="6" bestFit="1" customWidth="1"/>
    <col min="59" max="60" width="13.7109375" style="6" bestFit="1" customWidth="1"/>
    <col min="61" max="16384" width="9.140625" style="6"/>
  </cols>
  <sheetData>
    <row r="1" spans="1:60" customFormat="1" x14ac:dyDescent="0.2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  <c r="G1" s="3" t="s">
        <v>25</v>
      </c>
      <c r="H1" s="3" t="s">
        <v>26</v>
      </c>
      <c r="I1" s="3" t="s">
        <v>27</v>
      </c>
      <c r="J1" s="8" t="s">
        <v>28</v>
      </c>
      <c r="K1" s="7" t="s">
        <v>29</v>
      </c>
      <c r="L1" s="7" t="s">
        <v>30</v>
      </c>
      <c r="M1" s="8" t="s">
        <v>2</v>
      </c>
      <c r="N1" s="7" t="s">
        <v>3</v>
      </c>
      <c r="O1" s="7" t="s">
        <v>4</v>
      </c>
      <c r="P1" s="10" t="s">
        <v>31</v>
      </c>
      <c r="Q1" s="4" t="s">
        <v>32</v>
      </c>
      <c r="R1" s="4" t="s">
        <v>33</v>
      </c>
      <c r="S1" s="4" t="s">
        <v>34</v>
      </c>
      <c r="T1" s="4" t="s">
        <v>35</v>
      </c>
      <c r="U1" s="4" t="s">
        <v>36</v>
      </c>
      <c r="V1" s="4" t="s">
        <v>37</v>
      </c>
      <c r="W1" s="4" t="s">
        <v>38</v>
      </c>
      <c r="X1" s="10" t="s">
        <v>41</v>
      </c>
      <c r="Y1" s="4" t="s">
        <v>42</v>
      </c>
      <c r="Z1" s="10" t="s">
        <v>5</v>
      </c>
      <c r="AA1" s="4" t="s">
        <v>6</v>
      </c>
      <c r="AB1" s="11" t="s">
        <v>39</v>
      </c>
      <c r="AC1" s="5" t="s">
        <v>40</v>
      </c>
      <c r="AD1" s="5">
        <v>7.0058198668210989E-2</v>
      </c>
      <c r="AE1" s="14" t="s">
        <v>43</v>
      </c>
      <c r="AF1" s="14" t="s">
        <v>46</v>
      </c>
      <c r="AG1" s="17" t="s">
        <v>11</v>
      </c>
      <c r="AH1" s="17" t="s">
        <v>12</v>
      </c>
      <c r="AI1" s="17" t="s">
        <v>13</v>
      </c>
      <c r="AJ1" s="17" t="s">
        <v>14</v>
      </c>
      <c r="AK1" s="17" t="s">
        <v>15</v>
      </c>
      <c r="AL1" s="17" t="s">
        <v>16</v>
      </c>
      <c r="AM1" s="17" t="s">
        <v>17</v>
      </c>
      <c r="AN1" s="17" t="s">
        <v>18</v>
      </c>
      <c r="AO1" s="3" t="str">
        <f>"delta"&amp;A1</f>
        <v>deltabeta1_1</v>
      </c>
      <c r="AP1" s="3" t="str">
        <f t="shared" ref="AP1:AW1" si="0">"delta"&amp;B1</f>
        <v>deltabeta1_2</v>
      </c>
      <c r="AQ1" s="3" t="str">
        <f t="shared" si="0"/>
        <v>deltabeta1_3</v>
      </c>
      <c r="AR1" s="3" t="str">
        <f t="shared" si="0"/>
        <v>deltaw11_1</v>
      </c>
      <c r="AS1" s="3" t="str">
        <f t="shared" si="0"/>
        <v>deltaw11_2</v>
      </c>
      <c r="AT1" s="3" t="str">
        <f t="shared" si="0"/>
        <v>deltaw11_3</v>
      </c>
      <c r="AU1" s="3" t="str">
        <f t="shared" si="0"/>
        <v>deltaw12_1</v>
      </c>
      <c r="AV1" s="3" t="str">
        <f t="shared" si="0"/>
        <v>deltaw12_2</v>
      </c>
      <c r="AW1" s="18" t="str">
        <f t="shared" si="0"/>
        <v>deltaw12_3</v>
      </c>
      <c r="AX1" s="4" t="str">
        <f>"delta"&amp;P1</f>
        <v>deltabeta2_1</v>
      </c>
      <c r="AY1" s="4" t="str">
        <f>"delta"&amp;Q1</f>
        <v>deltabeta2_2</v>
      </c>
      <c r="AZ1" s="4" t="str">
        <f>"delta"&amp;R1</f>
        <v>deltaw21_1</v>
      </c>
      <c r="BA1" s="4" t="str">
        <f>"delta"&amp;S1</f>
        <v>deltaw21_2</v>
      </c>
      <c r="BB1" s="4" t="str">
        <f>"delta"&amp;T1</f>
        <v>deltaw22_1</v>
      </c>
      <c r="BC1" s="4" t="str">
        <f>"delta"&amp;U1</f>
        <v>deltaw22_2</v>
      </c>
      <c r="BD1" s="4" t="str">
        <f t="shared" ref="BD1:BE1" si="1">"delta"&amp;V1</f>
        <v>deltaw23_1</v>
      </c>
      <c r="BE1" s="4" t="str">
        <f t="shared" si="1"/>
        <v>deltaw23_2</v>
      </c>
      <c r="BF1" s="5" t="str">
        <f>"delta"&amp;AB1</f>
        <v>deltabeta3</v>
      </c>
      <c r="BG1" s="5" t="str">
        <f>"delta"&amp;AC1</f>
        <v>deltaw31_1</v>
      </c>
      <c r="BH1" s="5" t="str">
        <f>"delta"&amp;AD1</f>
        <v>delta0,070058198668211</v>
      </c>
    </row>
    <row r="2" spans="1:60" customFormat="1" x14ac:dyDescent="0.25">
      <c r="A2">
        <v>3.8355810890412915E-3</v>
      </c>
      <c r="B2">
        <v>1.6669754048839663E-4</v>
      </c>
      <c r="C2">
        <v>8.3284174002331481E-3</v>
      </c>
      <c r="D2">
        <v>6.8264031654014807E-3</v>
      </c>
      <c r="E2">
        <v>9.7945729545393222E-3</v>
      </c>
      <c r="F2">
        <v>5.4430634705275038E-3</v>
      </c>
      <c r="G2">
        <v>6.0397548923707594E-3</v>
      </c>
      <c r="H2">
        <v>5.6086194898749935E-3</v>
      </c>
      <c r="I2">
        <v>9.5893214739483576E-3</v>
      </c>
      <c r="J2" s="9" cm="1">
        <f t="array" ref="J2:J60">beta1_1+w11_1*X_1+w12_1*X_2</f>
        <v>0.18053541511644908</v>
      </c>
      <c r="K2" s="6" cm="1">
        <f t="array" ref="K2:K60">beta1_2+w11_2*X_1+w12_2*X_2</f>
        <v>0.25063964089384644</v>
      </c>
      <c r="L2" cm="1">
        <f t="array" ref="L2:L60">beta1_3+w11_3*X_1+w12_3*X_2</f>
        <v>0.15399432563736912</v>
      </c>
      <c r="M2" s="9" cm="1">
        <f t="array" ref="M2:M60">1/(1+EXP(-z1_1))</f>
        <v>0.54501166457155203</v>
      </c>
      <c r="N2" s="6" cm="1">
        <f t="array" ref="N2:N60">1/(1+EXP(-z1_2))</f>
        <v>0.56233393204398208</v>
      </c>
      <c r="O2" s="6" cm="1">
        <f t="array" ref="O2:O60">1/(1+EXP(-z1_3))</f>
        <v>0.53842268097365131</v>
      </c>
      <c r="P2" s="9">
        <v>1.3942956924438477E-3</v>
      </c>
      <c r="Q2">
        <v>5.6704396009445192E-3</v>
      </c>
      <c r="R2">
        <v>8.1377286269194871E-3</v>
      </c>
      <c r="S2">
        <v>8.3637721245220457E-3</v>
      </c>
      <c r="T2">
        <v>1.4198721269393551E-3</v>
      </c>
      <c r="U2">
        <v>7.7183208130151169E-3</v>
      </c>
      <c r="V2">
        <v>2.1164081664601844E-3</v>
      </c>
      <c r="W2">
        <v>5.7840639325343769E-4</v>
      </c>
      <c r="X2" s="9" cm="1">
        <f t="array" ref="X2:X60">beta2_1+w21_1*a1_1+w22_1*a1_2+W231*a1_3</f>
        <v>6.6278949933742679E-3</v>
      </c>
      <c r="Y2" cm="1">
        <f t="array" ref="Y2:Y60">beta2_2+w21_2*a1_1+w22_2*a1_2+w23_2*a1_3</f>
        <v>1.4880493781134936E-2</v>
      </c>
      <c r="Z2" s="9" cm="1">
        <f t="array" ref="Z2:Z60">1/(1+EXP(-Z2_1))</f>
        <v>0.5016569676826047</v>
      </c>
      <c r="AA2" cm="1">
        <f t="array" ref="AA2:AA60">1/(1+EXP(-Z2_2))</f>
        <v>0.50372005480150639</v>
      </c>
      <c r="AB2" s="9">
        <v>7.0849227905273437E-3</v>
      </c>
      <c r="AC2">
        <v>7.1696055720408589E-2</v>
      </c>
      <c r="AD2">
        <v>6.6306351044987777E-2</v>
      </c>
      <c r="AE2" s="15" cm="1">
        <f t="array" ref="AE2:AE60">1/(1+EXP(-(beta3+w31_1*a2_1+w32_1*a2_2)))</f>
        <v>0.51910359298096054</v>
      </c>
      <c r="AF2" s="15" t="b" cm="1">
        <f t="array" ref="AF2:AF60">ROUND(Y_pred,0)=Y</f>
        <v>0</v>
      </c>
      <c r="AG2" cm="1">
        <f t="array" ref="AG2:AG60">(Y - Y_pred)*Y_pred*(1-Y_pred)*a2_1+(Y - Y_pred)*Y_pred*(1-Y_pred)*a2_2</f>
        <v>-0.13028324207923248</v>
      </c>
      <c r="AH2" cm="1">
        <f t="array" ref="AH2:AH60">w31_1*a2_1*_xlfn.ANCHORARRAY(AG2)</f>
        <v>-4.6858746865288551E-3</v>
      </c>
      <c r="AI2" cm="1">
        <f t="array" ref="AI2:AI60">w32_1*a2_2*dZL</f>
        <v>-4.351439281451654E-3</v>
      </c>
      <c r="AJ2" cm="1">
        <f t="array" ref="AJ2:AJ60">a1_1*w21_1*dZ2_1+a1_1*w21_2*dZ2_2</f>
        <v>-4.0617987936112049E-5</v>
      </c>
      <c r="AK2" cm="1">
        <f t="array" ref="AK2:AK60">a1_2*w22_1*dZ2_1+a1_2*w22_2*dZ2_2</f>
        <v>-2.2627837884129783E-5</v>
      </c>
      <c r="AL2" cm="1">
        <f t="array" ref="AL2:AL60">a1_3*w23_1*dZ2_1+a1_3*w23_2*dZ2_2</f>
        <v>-6.6948142470923524E-6</v>
      </c>
      <c r="AM2" cm="1">
        <f t="array" ref="AM2:AM60">X_1*w11_1*dZ1_1+X_1*w11_2*dZ1_2+X_1*w11_3*dZ1_3</f>
        <v>-1.3383626731230695E-5</v>
      </c>
      <c r="AN2" cm="1">
        <f t="array" ref="AN2:AN60">X_2*w12_1*dZ1_1+X_2*w12_2*dZ1_2+X_2*w12_3*dZ1_3</f>
        <v>-4.3643234994978937E-7</v>
      </c>
      <c r="AO2" cm="1">
        <f t="array" ref="AO2:AO60">dZ1_1</f>
        <v>-4.0617987936112049E-5</v>
      </c>
      <c r="AP2" cm="1">
        <f t="array" ref="AP2:AP60">dZ1_2</f>
        <v>-2.2627837884129783E-5</v>
      </c>
      <c r="AQ2" cm="1">
        <f t="array" ref="AQ2:AQ60">dZ1_3</f>
        <v>-6.6948142470923524E-6</v>
      </c>
      <c r="AR2" cm="1">
        <f t="array" ref="AR2:AR60">X_1*dZ1_1</f>
        <v>-1.0154496984028012E-3</v>
      </c>
      <c r="AS2" cm="1">
        <f t="array" ref="AS2:AS60">X_1*dZ1_2</f>
        <v>-5.6569594710324464E-4</v>
      </c>
      <c r="AT2" cm="1">
        <f t="array" ref="AT2:AT60">X_1*dZ1_3</f>
        <v>-1.673703561773088E-4</v>
      </c>
      <c r="AU2" cm="1">
        <f t="array" ref="AU2:AU60">X_2*dZ1_1</f>
        <v>-4.0617987936112049E-5</v>
      </c>
      <c r="AV2" cm="1">
        <f t="array" ref="AV2:AV60">X_2*dZ1_2</f>
        <v>-2.2627837884129783E-5</v>
      </c>
      <c r="AW2" cm="1">
        <f t="array" ref="AW2:AW60">X_2*dZ1_3</f>
        <v>-6.6948142470923524E-6</v>
      </c>
      <c r="AX2" cm="1">
        <f t="array" ref="AX2:AX60">dZ2_1</f>
        <v>-4.6858746865288551E-3</v>
      </c>
      <c r="AY2" cm="1">
        <f t="array" ref="AY2:AY60">dZ2_2</f>
        <v>-4.351439281451654E-3</v>
      </c>
      <c r="AZ2" cm="1">
        <f t="array" ref="AZ2:AZ60">a1_1*dZ2_1</f>
        <v>-2.553856362878791E-3</v>
      </c>
      <c r="BA2" cm="1">
        <f t="array" ref="BA2:BA60">a1_1*dZ2_2</f>
        <v>-2.3715851660660041E-3</v>
      </c>
      <c r="BB2" cm="1">
        <f t="array" ref="BB2:BB60">a1_2*dZ2_1</f>
        <v>-2.635026337541133E-3</v>
      </c>
      <c r="BC2" cm="1">
        <f t="array" ref="BC2:BC60">a1_2*dZ2_2</f>
        <v>-2.4469619611893487E-3</v>
      </c>
      <c r="BD2" cm="1">
        <f t="array" ref="BD2:BD60">a1_3*dZ2_1</f>
        <v>-2.5229812114274342E-3</v>
      </c>
      <c r="BE2" cm="1">
        <f t="array" ref="BE2:BE60">a1_3*dZ2_2</f>
        <v>-2.3429136040132585E-3</v>
      </c>
      <c r="BF2" cm="1">
        <f t="array" ref="BF2:BF60">dZL</f>
        <v>-0.13028324207923248</v>
      </c>
      <c r="BG2" cm="1">
        <f t="array" ref="BG2:BG60">a2_1*dZL</f>
        <v>-6.5357496161326495E-2</v>
      </c>
      <c r="BH2" cm="1">
        <f t="array" ref="BH2:BH60">a2_2*dZL</f>
        <v>-6.5626281839868905E-2</v>
      </c>
    </row>
    <row r="3" spans="1:60" customFormat="1" x14ac:dyDescent="0.25">
      <c r="A3">
        <v>8.9343371999572509E-3</v>
      </c>
      <c r="B3">
        <v>8.9030130875982164E-3</v>
      </c>
      <c r="C3">
        <v>9.3645276705239377E-3</v>
      </c>
      <c r="D3">
        <v>3.7522673631331912E-3</v>
      </c>
      <c r="E3">
        <v>2.6548258807018036E-3</v>
      </c>
      <c r="F3">
        <v>1.6340170462556996E-3</v>
      </c>
      <c r="G3">
        <v>2.0072940004180664E-3</v>
      </c>
      <c r="H3">
        <v>5.8255001080907698E-3</v>
      </c>
      <c r="I3">
        <v>8.9229943434212759E-3</v>
      </c>
      <c r="J3" s="9">
        <v>1.8446165926641701E-2</v>
      </c>
      <c r="K3">
        <v>2.0038164957092593E-2</v>
      </c>
      <c r="L3">
        <v>2.1555556106456611E-2</v>
      </c>
      <c r="M3" s="9">
        <v>0.50461141072545224</v>
      </c>
      <c r="N3">
        <v>0.50500937362339093</v>
      </c>
      <c r="O3">
        <v>0.50538868037762796</v>
      </c>
      <c r="P3" s="9">
        <v>4.4875240325927736E-3</v>
      </c>
      <c r="Q3">
        <v>9.8721998929977416E-3</v>
      </c>
      <c r="R3">
        <v>9.8899457781096434E-3</v>
      </c>
      <c r="S3">
        <v>3.7035373811974397E-3</v>
      </c>
      <c r="T3">
        <v>5.7679721524081804E-3</v>
      </c>
      <c r="U3">
        <v>5.9000450905364234E-3</v>
      </c>
      <c r="V3">
        <v>5.9377299841298133E-3</v>
      </c>
      <c r="W3">
        <v>6.3639239244652904E-3</v>
      </c>
      <c r="X3" s="9">
        <v>1.2390983527447729E-2</v>
      </c>
      <c r="Y3">
        <v>1.7936880305328921E-2</v>
      </c>
      <c r="Z3" s="9">
        <v>0.50309770624772243</v>
      </c>
      <c r="AA3">
        <v>0.50448409985389708</v>
      </c>
      <c r="AB3" s="9">
        <v>9.3460208177566523E-3</v>
      </c>
      <c r="AC3">
        <v>6.6405620076200184E-2</v>
      </c>
      <c r="AD3">
        <v>7.2186251007819918E-2</v>
      </c>
      <c r="AE3" s="15">
        <v>0.5197825058028106</v>
      </c>
      <c r="AF3" s="15" t="b">
        <v>0</v>
      </c>
      <c r="AG3">
        <v>-0.13072589113372901</v>
      </c>
      <c r="AH3">
        <v>-4.3673579134310648E-3</v>
      </c>
      <c r="AI3">
        <v>-4.7606207057484858E-3</v>
      </c>
      <c r="AJ3">
        <v>-3.069251961681172E-5</v>
      </c>
      <c r="AK3">
        <v>-2.690623061603956E-5</v>
      </c>
      <c r="AL3">
        <v>-2.8417207003039095E-5</v>
      </c>
      <c r="AM3">
        <v>-4.6606419538404723E-7</v>
      </c>
      <c r="AN3">
        <v>-4.7191773719054292E-7</v>
      </c>
      <c r="AO3">
        <v>-3.069251961681172E-5</v>
      </c>
      <c r="AP3">
        <v>-2.690623061603956E-5</v>
      </c>
      <c r="AQ3">
        <v>-2.8417207003039095E-5</v>
      </c>
      <c r="AR3">
        <v>-6.138503923362344E-5</v>
      </c>
      <c r="AS3">
        <v>-5.381246123207912E-5</v>
      </c>
      <c r="AT3">
        <v>-5.6834414006078191E-5</v>
      </c>
      <c r="AU3">
        <v>-3.069251961681172E-5</v>
      </c>
      <c r="AV3">
        <v>-2.690623061603956E-5</v>
      </c>
      <c r="AW3">
        <v>-2.8417207003039095E-5</v>
      </c>
      <c r="AX3">
        <v>-4.3673579134310648E-3</v>
      </c>
      <c r="AY3">
        <v>-4.7606207057484858E-3</v>
      </c>
      <c r="AZ3">
        <v>-2.2038186378394173E-3</v>
      </c>
      <c r="BA3">
        <v>-2.4022635302565413E-3</v>
      </c>
      <c r="BB3">
        <v>-2.2055566842509818E-3</v>
      </c>
      <c r="BC3">
        <v>-2.4041580806685881E-3</v>
      </c>
      <c r="BD3">
        <v>-2.2072132526057167E-3</v>
      </c>
      <c r="BE3">
        <v>-2.4059638162566392E-3</v>
      </c>
      <c r="BF3">
        <v>-0.13072589113372901</v>
      </c>
      <c r="BG3">
        <v>-6.5767895976568541E-2</v>
      </c>
      <c r="BH3">
        <v>-6.5949133516197828E-2</v>
      </c>
    </row>
    <row r="4" spans="1:60" customFormat="1" x14ac:dyDescent="0.25">
      <c r="A4">
        <v>7.849251414317443E-3</v>
      </c>
      <c r="B4">
        <v>7.9804533161547514E-4</v>
      </c>
      <c r="C4">
        <v>9.6538829708253185E-3</v>
      </c>
      <c r="D4">
        <v>9.3618673879190626E-3</v>
      </c>
      <c r="E4">
        <v>3.3825565129778179E-3</v>
      </c>
      <c r="F4">
        <v>6.4068721963205684E-3</v>
      </c>
      <c r="G4">
        <v>8.9056415056468982E-3</v>
      </c>
      <c r="H4">
        <v>6.2389943563162112E-3</v>
      </c>
      <c r="I4">
        <v>1.9964782289074415E-3</v>
      </c>
      <c r="J4" s="9">
        <v>0.2786683036419017</v>
      </c>
      <c r="K4">
        <v>0.16511637327439468</v>
      </c>
      <c r="L4">
        <v>0.10483138157735358</v>
      </c>
      <c r="M4" s="9">
        <v>0.56921971064360577</v>
      </c>
      <c r="N4">
        <v>0.54118556420904196</v>
      </c>
      <c r="O4">
        <v>0.52618387055607219</v>
      </c>
      <c r="P4" s="9">
        <v>7.7914762496948241E-3</v>
      </c>
      <c r="Q4">
        <v>1.7230385541915894E-3</v>
      </c>
      <c r="R4">
        <v>4.0121855872502941E-3</v>
      </c>
      <c r="S4">
        <v>7.3288823471769826E-3</v>
      </c>
      <c r="T4">
        <v>2.9773792686903842E-3</v>
      </c>
      <c r="U4">
        <v>7.154888717362088E-3</v>
      </c>
      <c r="V4">
        <v>9.4681692047578654E-3</v>
      </c>
      <c r="W4">
        <v>8.6994931489089652E-4</v>
      </c>
      <c r="X4" s="9">
        <v>1.1686606048108393E-2</v>
      </c>
      <c r="Y4">
        <v>1.0224658628248106E-2</v>
      </c>
      <c r="Z4" s="9">
        <v>0.50292161826000625</v>
      </c>
      <c r="AA4">
        <v>0.50255614238806412</v>
      </c>
      <c r="AB4" s="9">
        <v>3.4764277935028075E-3</v>
      </c>
      <c r="AC4">
        <v>6.482014599011493E-2</v>
      </c>
      <c r="AD4">
        <v>7.3167126121234813E-2</v>
      </c>
      <c r="AE4" s="15">
        <v>0.51820356806939216</v>
      </c>
      <c r="AF4" s="15" t="b">
        <v>0</v>
      </c>
      <c r="AG4">
        <v>-0.13008788311102593</v>
      </c>
      <c r="AH4">
        <v>-4.2407937945583294E-3</v>
      </c>
      <c r="AI4">
        <v>-4.7834080386292242E-3</v>
      </c>
      <c r="AJ4">
        <v>-2.9640344151784952E-5</v>
      </c>
      <c r="AK4">
        <v>-2.5355195126027705E-5</v>
      </c>
      <c r="AL4">
        <v>-2.3317246664324902E-5</v>
      </c>
      <c r="AM4">
        <v>-4.1011597683285857E-6</v>
      </c>
      <c r="AN4">
        <v>-1.0311610622230871E-5</v>
      </c>
      <c r="AO4">
        <v>-2.9640344151784952E-5</v>
      </c>
      <c r="AP4">
        <v>-2.5355195126027705E-5</v>
      </c>
      <c r="AQ4">
        <v>-2.3317246664324902E-5</v>
      </c>
      <c r="AR4">
        <v>-2.3712275321427961E-4</v>
      </c>
      <c r="AS4">
        <v>-2.0284156100822164E-4</v>
      </c>
      <c r="AT4">
        <v>-1.8653797331459921E-4</v>
      </c>
      <c r="AU4">
        <v>-6.5208757133926895E-4</v>
      </c>
      <c r="AV4">
        <v>-5.5781429277260955E-4</v>
      </c>
      <c r="AW4">
        <v>-5.1297942661514783E-4</v>
      </c>
      <c r="AX4">
        <v>-4.2407937945583294E-3</v>
      </c>
      <c r="AY4">
        <v>-4.7834080386292242E-3</v>
      </c>
      <c r="AZ4">
        <v>-2.4139434166376914E-3</v>
      </c>
      <c r="BA4">
        <v>-2.7228101396388248E-3</v>
      </c>
      <c r="BB4">
        <v>-2.2950563824022533E-3</v>
      </c>
      <c r="BC4">
        <v>-2.5887113782276233E-3</v>
      </c>
      <c r="BD4">
        <v>-2.2314372930508741E-3</v>
      </c>
      <c r="BE4">
        <v>-2.5169521562149549E-3</v>
      </c>
      <c r="BF4">
        <v>-0.13008788311102593</v>
      </c>
      <c r="BG4">
        <v>-6.5424008690215696E-2</v>
      </c>
      <c r="BH4">
        <v>-6.5376464707706583E-2</v>
      </c>
    </row>
    <row r="5" spans="1:60" customFormat="1" x14ac:dyDescent="0.25">
      <c r="A5">
        <v>5.5614142781591587E-3</v>
      </c>
      <c r="B5">
        <v>8.8462569542884159E-3</v>
      </c>
      <c r="C5">
        <v>6.3256523077840944E-3</v>
      </c>
      <c r="D5">
        <v>3.7661836046267078E-3</v>
      </c>
      <c r="E5">
        <v>6.2241125786779272E-3</v>
      </c>
      <c r="F5">
        <v>1.4026329115496084E-3</v>
      </c>
      <c r="G5">
        <v>7.6257934327748737E-3</v>
      </c>
      <c r="H5">
        <v>5.8078116511331981E-3</v>
      </c>
      <c r="I5">
        <v>5.2852563299687063E-3</v>
      </c>
      <c r="J5" s="9">
        <v>0.16175004031476187</v>
      </c>
      <c r="K5">
        <v>0.13786701606185298</v>
      </c>
      <c r="L5">
        <v>0.11095342131183834</v>
      </c>
      <c r="M5" s="9">
        <v>0.54034957599821654</v>
      </c>
      <c r="N5">
        <v>0.53441226421524568</v>
      </c>
      <c r="O5">
        <v>0.52770993385710996</v>
      </c>
      <c r="P5" s="9">
        <v>4.90478515625E-3</v>
      </c>
      <c r="Q5">
        <v>5.4270571470260622E-3</v>
      </c>
      <c r="R5">
        <v>2.8601284408068233E-3</v>
      </c>
      <c r="S5">
        <v>6.4709902712278711E-3</v>
      </c>
      <c r="T5">
        <v>4.5020328327937224E-3</v>
      </c>
      <c r="U5">
        <v>1.4456273656271185E-3</v>
      </c>
      <c r="V5">
        <v>6.0902865178708273E-3</v>
      </c>
      <c r="W5">
        <v>8.3472269039812242E-3</v>
      </c>
      <c r="X5" s="9">
        <v>8.8561959062850772E-3</v>
      </c>
      <c r="Y5">
        <v>1.4101129547439157E-2</v>
      </c>
      <c r="Z5" s="9">
        <v>0.50221403450562274</v>
      </c>
      <c r="AA5">
        <v>0.50352522397354738</v>
      </c>
      <c r="AB5" s="9">
        <v>2.1898925304412843E-4</v>
      </c>
      <c r="AC5">
        <v>6.7456741558983874E-2</v>
      </c>
      <c r="AD5">
        <v>7.0605268239428601E-2</v>
      </c>
      <c r="AE5" s="15">
        <v>0.51740502603636562</v>
      </c>
      <c r="AF5" s="15" t="b">
        <v>0</v>
      </c>
      <c r="AG5">
        <v>-0.12993599717707655</v>
      </c>
      <c r="AH5">
        <v>-4.4019356334187272E-3</v>
      </c>
      <c r="AI5">
        <v>-4.6194239570126758E-3</v>
      </c>
      <c r="AJ5">
        <v>-2.2955319152976694E-5</v>
      </c>
      <c r="AK5">
        <v>-1.4159586646204955E-5</v>
      </c>
      <c r="AL5">
        <v>-3.4495569436607948E-5</v>
      </c>
      <c r="AM5">
        <v>-6.6890828694260881E-7</v>
      </c>
      <c r="AN5">
        <v>-8.352526560211958E-6</v>
      </c>
      <c r="AO5">
        <v>-2.2955319152976694E-5</v>
      </c>
      <c r="AP5">
        <v>-1.4159586646204955E-5</v>
      </c>
      <c r="AQ5">
        <v>-3.4495569436607948E-5</v>
      </c>
      <c r="AR5">
        <v>-6.8865957458930078E-5</v>
      </c>
      <c r="AS5">
        <v>-4.2478759938614866E-5</v>
      </c>
      <c r="AT5">
        <v>-1.0348670830982384E-4</v>
      </c>
      <c r="AU5">
        <v>-4.361510639065572E-4</v>
      </c>
      <c r="AV5">
        <v>-2.6903214627789414E-4</v>
      </c>
      <c r="AW5">
        <v>-6.5541581929555101E-4</v>
      </c>
      <c r="AX5">
        <v>-4.4019356334187272E-3</v>
      </c>
      <c r="AY5">
        <v>-4.6194239570126758E-3</v>
      </c>
      <c r="AZ5">
        <v>-2.37858405308925E-3</v>
      </c>
      <c r="BA5">
        <v>-2.4961037765278029E-3</v>
      </c>
      <c r="BB5">
        <v>-2.3524483887850736E-3</v>
      </c>
      <c r="BC5">
        <v>-2.4686768162372938E-3</v>
      </c>
      <c r="BD5">
        <v>-2.3229451619546518E-3</v>
      </c>
      <c r="BE5">
        <v>-2.4377159108131081E-3</v>
      </c>
      <c r="BF5">
        <v>-0.12993599717707655</v>
      </c>
      <c r="BG5">
        <v>-6.5255681369810817E-2</v>
      </c>
      <c r="BH5">
        <v>-6.5426052080813688E-2</v>
      </c>
    </row>
    <row r="6" spans="1:60" customFormat="1" x14ac:dyDescent="0.25">
      <c r="A6">
        <v>1.6265488731437956E-3</v>
      </c>
      <c r="B6">
        <v>7.6987943895081628E-3</v>
      </c>
      <c r="C6">
        <v>5.4970748460698091E-3</v>
      </c>
      <c r="D6">
        <v>8.467171206947028E-3</v>
      </c>
      <c r="E6">
        <v>7.5762420302767546E-3</v>
      </c>
      <c r="F6">
        <v>5.7538303751682616E-3</v>
      </c>
      <c r="G6">
        <v>6.4575880255926419E-3</v>
      </c>
      <c r="H6">
        <v>3.3865690870323478E-3</v>
      </c>
      <c r="I6">
        <v>2.247504909930149E-3</v>
      </c>
      <c r="J6" s="9">
        <v>0.28763539595428139</v>
      </c>
      <c r="K6">
        <v>0.21099942881892464</v>
      </c>
      <c r="L6">
        <v>0.15275729924239353</v>
      </c>
      <c r="M6" s="9">
        <v>0.57141714041148262</v>
      </c>
      <c r="N6">
        <v>0.55255501928549244</v>
      </c>
      <c r="O6">
        <v>0.53811523602634626</v>
      </c>
      <c r="P6" s="9">
        <v>6.4573335647583009E-3</v>
      </c>
      <c r="Q6">
        <v>4.0946072340011597E-3</v>
      </c>
      <c r="R6">
        <v>1.9757300914991856E-3</v>
      </c>
      <c r="S6">
        <v>9.2546625442304353E-3</v>
      </c>
      <c r="T6">
        <v>1.2251437901551043E-3</v>
      </c>
      <c r="U6">
        <v>7.9804637831005956E-4</v>
      </c>
      <c r="V6">
        <v>4.8468009004758493E-3</v>
      </c>
      <c r="W6">
        <v>6.3107717052076628E-3</v>
      </c>
      <c r="X6" s="9">
        <v>8.2632589544643382E-3</v>
      </c>
      <c r="Y6">
        <v>1.3219766978112613E-2</v>
      </c>
      <c r="Z6" s="9">
        <v>0.50206580298396108</v>
      </c>
      <c r="AA6">
        <v>0.50330489361378439</v>
      </c>
      <c r="AB6" s="9">
        <v>5.6789851188659667E-3</v>
      </c>
      <c r="AC6">
        <v>6.9937618127498435E-2</v>
      </c>
      <c r="AD6">
        <v>6.5437803464679534E-2</v>
      </c>
      <c r="AE6" s="15">
        <v>0.51842351486883786</v>
      </c>
      <c r="AF6" s="15" t="b">
        <v>0</v>
      </c>
      <c r="AG6">
        <v>-0.13012504113893</v>
      </c>
      <c r="AH6">
        <v>-4.5691178378393857E-3</v>
      </c>
      <c r="AI6">
        <v>-4.2856899232007412E-3</v>
      </c>
      <c r="AJ6">
        <v>-2.7822276345552011E-5</v>
      </c>
      <c r="AK6">
        <v>-4.9829442954039564E-6</v>
      </c>
      <c r="AL6">
        <v>-2.647075759989165E-5</v>
      </c>
      <c r="AM6">
        <v>-7.2358157114760623E-6</v>
      </c>
      <c r="AN6">
        <v>-5.6327269099708763E-6</v>
      </c>
      <c r="AO6">
        <v>-2.7822276345552011E-5</v>
      </c>
      <c r="AP6">
        <v>-4.9829442954039564E-6</v>
      </c>
      <c r="AQ6">
        <v>-2.647075759989165E-5</v>
      </c>
      <c r="AR6">
        <v>-4.7297869787438419E-4</v>
      </c>
      <c r="AS6">
        <v>-8.4710053021867259E-5</v>
      </c>
      <c r="AT6">
        <v>-4.5000287919815804E-4</v>
      </c>
      <c r="AU6">
        <v>-6.1209007960214424E-4</v>
      </c>
      <c r="AV6">
        <v>-1.0962477449888704E-4</v>
      </c>
      <c r="AW6">
        <v>-5.8235666719761629E-4</v>
      </c>
      <c r="AX6">
        <v>-4.5691178378393857E-3</v>
      </c>
      <c r="AY6">
        <v>-4.2856899232007412E-3</v>
      </c>
      <c r="AZ6">
        <v>-2.610872249101278E-3</v>
      </c>
      <c r="BA6">
        <v>-2.448916680605674E-3</v>
      </c>
      <c r="BB6">
        <v>-2.5246889950050291E-3</v>
      </c>
      <c r="BC6">
        <v>-2.3680794781658263E-3</v>
      </c>
      <c r="BD6">
        <v>-2.4587119237411297E-3</v>
      </c>
      <c r="BE6">
        <v>-2.3061950445589004E-3</v>
      </c>
      <c r="BF6">
        <v>-0.13012504113893</v>
      </c>
      <c r="BG6">
        <v>-6.5331333267737865E-2</v>
      </c>
      <c r="BH6">
        <v>-6.5492569986918478E-2</v>
      </c>
    </row>
    <row r="7" spans="1:60" customFormat="1" x14ac:dyDescent="0.25">
      <c r="A7">
        <v>5.8607694334912377E-3</v>
      </c>
      <c r="B7">
        <v>6.4115624623401974E-3</v>
      </c>
      <c r="C7">
        <v>4.4942810692374276E-3</v>
      </c>
      <c r="D7">
        <v>7.9584299891878804E-3</v>
      </c>
      <c r="E7">
        <v>4.0457954938197451E-3</v>
      </c>
      <c r="F7">
        <v>8.6484849172504385E-3</v>
      </c>
      <c r="G7">
        <v>7.1766924456618207E-4</v>
      </c>
      <c r="H7">
        <v>3.7380923741372855E-3</v>
      </c>
      <c r="I7">
        <v>6.5362918002965249E-3</v>
      </c>
      <c r="J7" s="9">
        <v>0.19308253805428982</v>
      </c>
      <c r="K7">
        <v>0.19603985430839885</v>
      </c>
      <c r="L7">
        <v>0.36912863473979934</v>
      </c>
      <c r="M7" s="9">
        <v>0.54812122723537082</v>
      </c>
      <c r="N7">
        <v>0.54885360342410006</v>
      </c>
      <c r="O7">
        <v>0.5912484090978769</v>
      </c>
      <c r="P7" s="9">
        <v>5.1102542877197264E-3</v>
      </c>
      <c r="Q7">
        <v>4.7422903776168828E-3</v>
      </c>
      <c r="R7">
        <v>5.2746679384871337E-3</v>
      </c>
      <c r="S7">
        <v>8.798574424693225E-3</v>
      </c>
      <c r="T7">
        <v>8.6847923928357381E-3</v>
      </c>
      <c r="U7">
        <v>3.5556473105124767E-3</v>
      </c>
      <c r="V7">
        <v>5.7269786973597418E-3</v>
      </c>
      <c r="W7">
        <v>9.8812438872141906E-3</v>
      </c>
      <c r="X7" s="9">
        <v>1.2768091351220465E-2</v>
      </c>
      <c r="Y7">
        <v>1.7358775356304975E-2</v>
      </c>
      <c r="Z7" s="9">
        <v>0.50319197947377614</v>
      </c>
      <c r="AA7">
        <v>0.50433958487008634</v>
      </c>
      <c r="AB7" s="9">
        <v>8.6369043588638301E-3</v>
      </c>
      <c r="AC7">
        <v>7.2254436698971039E-2</v>
      </c>
      <c r="AD7">
        <v>6.5805433755388582E-2</v>
      </c>
      <c r="AE7" s="15">
        <v>0.51953581044910113</v>
      </c>
      <c r="AF7" s="15" t="b">
        <v>0</v>
      </c>
      <c r="AG7">
        <v>-0.13066240885615926</v>
      </c>
      <c r="AH7">
        <v>-4.7506046575182207E-3</v>
      </c>
      <c r="AI7">
        <v>-4.3364612825095815E-3</v>
      </c>
      <c r="AJ7">
        <v>-3.4648134677744676E-5</v>
      </c>
      <c r="AK7">
        <v>-3.1107343895663186E-5</v>
      </c>
      <c r="AL7">
        <v>-4.1420642347133281E-5</v>
      </c>
      <c r="AM7">
        <v>-1.5956314635419885E-5</v>
      </c>
      <c r="AN7">
        <v>-1.1532792056028076E-5</v>
      </c>
      <c r="AO7">
        <v>-3.4648134677744676E-5</v>
      </c>
      <c r="AP7">
        <v>-3.1107343895663186E-5</v>
      </c>
      <c r="AQ7">
        <v>-4.1420642347133281E-5</v>
      </c>
      <c r="AR7">
        <v>-7.2761082823263813E-4</v>
      </c>
      <c r="AS7">
        <v>-6.5325422180892694E-4</v>
      </c>
      <c r="AT7">
        <v>-8.6983348928979887E-4</v>
      </c>
      <c r="AU7">
        <v>-9.7014777097685092E-4</v>
      </c>
      <c r="AV7">
        <v>-8.7100562907856918E-4</v>
      </c>
      <c r="AW7">
        <v>-1.1597779857197318E-3</v>
      </c>
      <c r="AX7">
        <v>-4.7506046575182207E-3</v>
      </c>
      <c r="AY7">
        <v>-4.3364612825095815E-3</v>
      </c>
      <c r="AZ7">
        <v>-2.6039072549889557E-3</v>
      </c>
      <c r="BA7">
        <v>-2.376906480027822E-3</v>
      </c>
      <c r="BB7">
        <v>-2.6073864847221883E-3</v>
      </c>
      <c r="BC7">
        <v>-2.3800824010144781E-3</v>
      </c>
      <c r="BD7">
        <v>-2.8087874460106122E-3</v>
      </c>
      <c r="BE7">
        <v>-2.563925834398329E-3</v>
      </c>
      <c r="BF7">
        <v>-0.13066240885615926</v>
      </c>
      <c r="BG7">
        <v>-6.5748276155142643E-2</v>
      </c>
      <c r="BH7">
        <v>-6.5898225040640857E-2</v>
      </c>
    </row>
    <row r="8" spans="1:60" customFormat="1" x14ac:dyDescent="0.25">
      <c r="A8">
        <v>4.4964440597815699E-3</v>
      </c>
      <c r="B8">
        <v>5.4543584839124781E-3</v>
      </c>
      <c r="C8">
        <v>4.375044962698387E-3</v>
      </c>
      <c r="D8">
        <v>1.5983426570892335E-3</v>
      </c>
      <c r="E8">
        <v>9.8422342538833623E-3</v>
      </c>
      <c r="F8">
        <v>9.7364139556884773E-3</v>
      </c>
      <c r="G8">
        <v>3.0925727033868388E-3</v>
      </c>
      <c r="H8">
        <v>3.5133929210245879E-3</v>
      </c>
      <c r="I8">
        <v>2.9264838558004849E-3</v>
      </c>
      <c r="J8" s="9">
        <v>9.1088479754613053E-2</v>
      </c>
      <c r="K8">
        <v>0.10382936027260094</v>
      </c>
      <c r="L8">
        <v>8.6316592925111957E-2</v>
      </c>
      <c r="M8" s="9">
        <v>0.52275638775751354</v>
      </c>
      <c r="N8">
        <v>0.52593404567705637</v>
      </c>
      <c r="O8">
        <v>0.52156576015489897</v>
      </c>
      <c r="P8" s="9">
        <v>5.559301376342774E-4</v>
      </c>
      <c r="Q8">
        <v>3.2929581403732299E-3</v>
      </c>
      <c r="R8">
        <v>9.7502041079897007E-3</v>
      </c>
      <c r="S8">
        <v>8.7541314554569309E-3</v>
      </c>
      <c r="T8">
        <v>1.70433833674176E-3</v>
      </c>
      <c r="U8">
        <v>9.7944643179146713E-3</v>
      </c>
      <c r="V8">
        <v>4.1321055026378364E-3</v>
      </c>
      <c r="W8">
        <v>7.1140923120312756E-3</v>
      </c>
      <c r="X8" s="9">
        <v>6.549281173670542E-3</v>
      </c>
      <c r="Y8">
        <v>1.6730945486479468E-2</v>
      </c>
      <c r="Z8" s="9">
        <v>0.50163731444096638</v>
      </c>
      <c r="AA8">
        <v>0.50418263880347258</v>
      </c>
      <c r="AB8" s="9">
        <v>4.197279214859009E-3</v>
      </c>
      <c r="AC8">
        <v>6.5885744138601016E-2</v>
      </c>
      <c r="AD8">
        <v>7.0574689878544788E-2</v>
      </c>
      <c r="AE8" s="15">
        <v>0.51819959613404276</v>
      </c>
      <c r="AF8" s="15" t="b">
        <v>0</v>
      </c>
      <c r="AG8">
        <v>-0.13013123363078086</v>
      </c>
      <c r="AH8">
        <v>-4.3009345770794252E-3</v>
      </c>
      <c r="AI8">
        <v>-4.6303989638884621E-3</v>
      </c>
      <c r="AJ8">
        <v>-4.3111777430297453E-5</v>
      </c>
      <c r="AK8">
        <v>-2.7707533569189128E-5</v>
      </c>
      <c r="AL8">
        <v>-2.6450164970059832E-5</v>
      </c>
      <c r="AM8">
        <v>0</v>
      </c>
      <c r="AN8">
        <v>-8.6262326960489819E-6</v>
      </c>
      <c r="AO8">
        <v>-4.3111777430297453E-5</v>
      </c>
      <c r="AP8">
        <v>-2.7707533569189128E-5</v>
      </c>
      <c r="AQ8">
        <v>-2.6450164970059832E-5</v>
      </c>
      <c r="AR8">
        <v>0</v>
      </c>
      <c r="AS8">
        <v>0</v>
      </c>
      <c r="AT8">
        <v>0</v>
      </c>
      <c r="AU8">
        <v>-1.2071297680483286E-3</v>
      </c>
      <c r="AV8">
        <v>-7.7581093993729557E-4</v>
      </c>
      <c r="AW8">
        <v>-7.4060461916167534E-4</v>
      </c>
      <c r="AX8">
        <v>-4.3009345770794252E-3</v>
      </c>
      <c r="AY8">
        <v>-4.6303989638884621E-3</v>
      </c>
      <c r="AZ8">
        <v>-2.2483410234954296E-3</v>
      </c>
      <c r="BA8">
        <v>-2.4205706362384659E-3</v>
      </c>
      <c r="BB8">
        <v>-2.2620079223157215E-3</v>
      </c>
      <c r="BC8">
        <v>-2.435284460176709E-3</v>
      </c>
      <c r="BD8">
        <v>-2.2432202120709192E-3</v>
      </c>
      <c r="BE8">
        <v>-2.4150575554209423E-3</v>
      </c>
      <c r="BF8">
        <v>-0.13013123363078086</v>
      </c>
      <c r="BG8">
        <v>-6.5278682563434873E-2</v>
      </c>
      <c r="BH8">
        <v>-6.5609908762718286E-2</v>
      </c>
    </row>
    <row r="9" spans="1:60" customFormat="1" x14ac:dyDescent="0.25">
      <c r="A9">
        <v>6.8596571964763351E-3</v>
      </c>
      <c r="B9">
        <v>5.2850126863146401E-3</v>
      </c>
      <c r="C9">
        <v>8.5058906767566372E-3</v>
      </c>
      <c r="D9">
        <v>5.2739537542885427E-3</v>
      </c>
      <c r="E9">
        <v>3.1910810619491931E-4</v>
      </c>
      <c r="F9">
        <v>6.3411470503792131E-3</v>
      </c>
      <c r="G9">
        <v>4.1410171985626224E-3</v>
      </c>
      <c r="H9">
        <v>4.9363785982131959E-3</v>
      </c>
      <c r="I9">
        <v>3.7874770164489746E-3</v>
      </c>
      <c r="J9" s="9">
        <v>0.13343454729940135</v>
      </c>
      <c r="K9">
        <v>1.2943607234992703E-2</v>
      </c>
      <c r="L9">
        <v>0.16069341988585775</v>
      </c>
      <c r="M9" s="9">
        <v>0.53330922953017723</v>
      </c>
      <c r="N9">
        <v>0.5032358566317402</v>
      </c>
      <c r="O9">
        <v>0.54008712999757613</v>
      </c>
      <c r="P9" s="9">
        <v>4.5179939270019532E-3</v>
      </c>
      <c r="Q9">
        <v>9.5757120847702031E-3</v>
      </c>
      <c r="R9">
        <v>1.564568613062771E-3</v>
      </c>
      <c r="S9">
        <v>7.4958322666314695E-3</v>
      </c>
      <c r="T9">
        <v>5.3994387816398899E-4</v>
      </c>
      <c r="U9">
        <v>5.5783519433849566E-3</v>
      </c>
      <c r="V9">
        <v>7.3271975699709833E-3</v>
      </c>
      <c r="W9">
        <v>3.3674487338140732E-3</v>
      </c>
      <c r="X9" s="9">
        <v>5.6241119286424765E-3</v>
      </c>
      <c r="Y9">
        <v>1.8199251056457151E-2</v>
      </c>
      <c r="Z9" s="9">
        <v>0.50140602427604253</v>
      </c>
      <c r="AA9">
        <v>0.50454968718861126</v>
      </c>
      <c r="AB9" s="9">
        <v>5.7389110326766966E-3</v>
      </c>
      <c r="AC9">
        <v>7.1003820416541324E-2</v>
      </c>
      <c r="AD9">
        <v>7.1328789937922937E-2</v>
      </c>
      <c r="AE9" s="15">
        <v>0.51932276524905785</v>
      </c>
      <c r="AF9" s="15" t="b">
        <v>0</v>
      </c>
      <c r="AG9">
        <v>-0.13040887148662</v>
      </c>
      <c r="AH9">
        <v>-4.6427831671616033E-3</v>
      </c>
      <c r="AI9">
        <v>-4.6932742672643199E-3</v>
      </c>
      <c r="AJ9">
        <v>-2.2635750011026937E-5</v>
      </c>
      <c r="AK9">
        <v>-1.4436617878642045E-5</v>
      </c>
      <c r="AL9">
        <v>-2.6908734089213117E-5</v>
      </c>
      <c r="AM9">
        <v>-7.0708555282117912E-6</v>
      </c>
      <c r="AN9">
        <v>0</v>
      </c>
      <c r="AO9">
        <v>-2.2635750011026937E-5</v>
      </c>
      <c r="AP9">
        <v>-1.4436617878642045E-5</v>
      </c>
      <c r="AQ9">
        <v>-2.6908734089213117E-5</v>
      </c>
      <c r="AR9">
        <v>-5.4325800026464651E-4</v>
      </c>
      <c r="AS9">
        <v>-3.4647882908740908E-4</v>
      </c>
      <c r="AT9">
        <v>-6.458096181411148E-4</v>
      </c>
      <c r="AU9">
        <v>0</v>
      </c>
      <c r="AV9">
        <v>0</v>
      </c>
      <c r="AW9">
        <v>0</v>
      </c>
      <c r="AX9">
        <v>-4.6427831671616033E-3</v>
      </c>
      <c r="AY9">
        <v>-4.6932742672643199E-3</v>
      </c>
      <c r="AZ9">
        <v>-2.4760391137546309E-3</v>
      </c>
      <c r="BA9">
        <v>-2.5029664834485417E-3</v>
      </c>
      <c r="BB9">
        <v>-2.3364149642819934E-3</v>
      </c>
      <c r="BC9">
        <v>-2.361823896294463E-3</v>
      </c>
      <c r="BD9">
        <v>-2.5075074359533671E-3</v>
      </c>
      <c r="BE9">
        <v>-2.5347770292982637E-3</v>
      </c>
      <c r="BF9">
        <v>-0.13040887148662</v>
      </c>
      <c r="BG9">
        <v>-6.5387793782431494E-2</v>
      </c>
      <c r="BH9">
        <v>-6.5797755315193926E-2</v>
      </c>
    </row>
    <row r="10" spans="1:60" customFormat="1" x14ac:dyDescent="0.25">
      <c r="A10">
        <v>4.0048446677647516E-4</v>
      </c>
      <c r="B10">
        <v>4.5465401400104444E-4</v>
      </c>
      <c r="C10">
        <v>2.5134745077161299E-3</v>
      </c>
      <c r="D10">
        <v>4.0464973449707035E-3</v>
      </c>
      <c r="E10">
        <v>3.1777018308639525E-3</v>
      </c>
      <c r="F10">
        <v>3.9402163028717041E-3</v>
      </c>
      <c r="G10">
        <v>9.1134496731353504E-3</v>
      </c>
      <c r="H10">
        <v>5.911319456403755E-3</v>
      </c>
      <c r="I10">
        <v>5.9321921946106238E-3</v>
      </c>
      <c r="J10" s="9">
        <v>0.17355602825634814</v>
      </c>
      <c r="K10">
        <v>0.1127697236856724</v>
      </c>
      <c r="L10">
        <v>0.11522512620531798</v>
      </c>
      <c r="M10" s="9">
        <v>0.54328042159397671</v>
      </c>
      <c r="N10">
        <v>0.52816259191361581</v>
      </c>
      <c r="O10">
        <v>0.52877445246836741</v>
      </c>
      <c r="P10" s="9">
        <v>5.7513284683227538E-3</v>
      </c>
      <c r="Q10">
        <v>2.3259037733078004E-3</v>
      </c>
      <c r="R10">
        <v>8.9409594686199103E-3</v>
      </c>
      <c r="S10">
        <v>3.3836386044670849E-3</v>
      </c>
      <c r="T10">
        <v>3.804385062008973E-3</v>
      </c>
      <c r="U10">
        <v>8.2453290762500783E-3</v>
      </c>
      <c r="V10">
        <v>7.0114021018059351E-3</v>
      </c>
      <c r="W10">
        <v>6.4341570938214838E-3</v>
      </c>
      <c r="X10" s="9">
        <v>1.2618110572877338E-2</v>
      </c>
      <c r="Y10">
        <v>1.1921260651338191E-2</v>
      </c>
      <c r="Z10" s="9">
        <v>0.50315448578942512</v>
      </c>
      <c r="AA10">
        <v>0.5029802798673505</v>
      </c>
      <c r="AB10" s="9">
        <v>9.6025228500366214E-3</v>
      </c>
      <c r="AC10">
        <v>7.0527779962405085E-2</v>
      </c>
      <c r="AD10">
        <v>7.1841726751364771E-2</v>
      </c>
      <c r="AE10" s="15">
        <v>0.52029480950528706</v>
      </c>
      <c r="AF10" s="15" t="b">
        <v>0</v>
      </c>
      <c r="AG10">
        <v>-0.13065606072824534</v>
      </c>
      <c r="AH10">
        <v>-4.6365091649086089E-3</v>
      </c>
      <c r="AI10">
        <v>-4.7212530735144835E-3</v>
      </c>
      <c r="AJ10">
        <v>-3.1200515662813271E-5</v>
      </c>
      <c r="AK10">
        <v>-2.9876758959641925E-5</v>
      </c>
      <c r="AL10">
        <v>-3.3252359019398648E-5</v>
      </c>
      <c r="AM10">
        <v>0</v>
      </c>
      <c r="AN10">
        <v>-1.2506080828143463E-5</v>
      </c>
      <c r="AO10">
        <v>-3.1200515662813271E-5</v>
      </c>
      <c r="AP10">
        <v>-2.9876758959641925E-5</v>
      </c>
      <c r="AQ10">
        <v>-3.3252359019398648E-5</v>
      </c>
      <c r="AR10">
        <v>0</v>
      </c>
      <c r="AS10">
        <v>0</v>
      </c>
      <c r="AT10">
        <v>0</v>
      </c>
      <c r="AU10">
        <v>-5.9280979759345214E-4</v>
      </c>
      <c r="AV10">
        <v>-5.6765842023319662E-4</v>
      </c>
      <c r="AW10">
        <v>-6.3179482136857437E-4</v>
      </c>
      <c r="AX10">
        <v>-4.6365091649086089E-3</v>
      </c>
      <c r="AY10">
        <v>-4.7212530735144835E-3</v>
      </c>
      <c r="AZ10">
        <v>-2.5189246538358861E-3</v>
      </c>
      <c r="BA10">
        <v>-2.5649643602308069E-3</v>
      </c>
      <c r="BB10">
        <v>-2.4488306979693654E-3</v>
      </c>
      <c r="BC10">
        <v>-2.4935892603875345E-3</v>
      </c>
      <c r="BD10">
        <v>-2.4516675950391172E-3</v>
      </c>
      <c r="BE10">
        <v>-2.4964780089122176E-3</v>
      </c>
      <c r="BF10">
        <v>-0.13065606072824534</v>
      </c>
      <c r="BG10">
        <v>-6.574018305099219E-2</v>
      </c>
      <c r="BH10">
        <v>-6.5717421991458386E-2</v>
      </c>
    </row>
    <row r="11" spans="1:60" customFormat="1" x14ac:dyDescent="0.25">
      <c r="A11">
        <v>3.9724222377792986E-3</v>
      </c>
      <c r="B11">
        <v>7.1112815421695815E-3</v>
      </c>
      <c r="C11">
        <v>9.7630376620832186E-3</v>
      </c>
      <c r="D11">
        <v>2.488590016021718E-3</v>
      </c>
      <c r="E11">
        <v>1.6962680384524169E-3</v>
      </c>
      <c r="F11">
        <v>3.9079529136254905E-3</v>
      </c>
      <c r="G11">
        <v>2.2140568275531109E-3</v>
      </c>
      <c r="H11">
        <v>9.2764730661488142E-3</v>
      </c>
      <c r="I11">
        <v>1.377671859534137E-3</v>
      </c>
      <c r="J11" s="9">
        <v>7.4768866760066083E-2</v>
      </c>
      <c r="K11">
        <v>9.4204079795771667E-2</v>
      </c>
      <c r="L11">
        <v>0.11044226688676569</v>
      </c>
      <c r="M11" s="9">
        <v>0.51868351350051933</v>
      </c>
      <c r="N11">
        <v>0.523533618610176</v>
      </c>
      <c r="O11">
        <v>0.52758253593418014</v>
      </c>
      <c r="P11" s="9">
        <v>5.0420665740966795E-3</v>
      </c>
      <c r="Q11">
        <v>4.1851347684860232E-3</v>
      </c>
      <c r="R11">
        <v>8.9719626446960882E-3</v>
      </c>
      <c r="S11">
        <v>3.0570710799135837E-4</v>
      </c>
      <c r="T11">
        <v>5.1679469213249752E-3</v>
      </c>
      <c r="U11">
        <v>1.8642293382560551E-3</v>
      </c>
      <c r="V11">
        <v>6.3221152536138006E-3</v>
      </c>
      <c r="W11">
        <v>2.1901876105597344E-3</v>
      </c>
      <c r="X11" s="9">
        <v>1.2401269634149642E-2</v>
      </c>
      <c r="Y11">
        <v>6.4751914704882368E-3</v>
      </c>
      <c r="Z11" s="9">
        <v>0.50310027767561272</v>
      </c>
      <c r="AA11">
        <v>0.50161879221155192</v>
      </c>
      <c r="AB11" s="9">
        <v>2.4288952350616456E-4</v>
      </c>
      <c r="AC11">
        <v>6.4448252842868939E-2</v>
      </c>
      <c r="AD11">
        <v>7.1182159156332456E-2</v>
      </c>
      <c r="AE11" s="15">
        <v>0.51708662704879527</v>
      </c>
      <c r="AF11" s="15" t="b">
        <v>0</v>
      </c>
      <c r="AG11">
        <v>-0.12973002143000079</v>
      </c>
      <c r="AH11">
        <v>-4.2063576398158808E-3</v>
      </c>
      <c r="AI11">
        <v>-4.6321801932277043E-3</v>
      </c>
      <c r="AJ11">
        <v>-2.0309246971831493E-5</v>
      </c>
      <c r="AK11">
        <v>-1.5901642198300732E-5</v>
      </c>
      <c r="AL11">
        <v>-1.9382549563210083E-5</v>
      </c>
      <c r="AM11">
        <v>-3.6782622649425659E-6</v>
      </c>
      <c r="AN11">
        <v>-1.0958988778988911E-6</v>
      </c>
      <c r="AO11">
        <v>-2.0309246971831493E-5</v>
      </c>
      <c r="AP11">
        <v>-1.5901642198300732E-5</v>
      </c>
      <c r="AQ11">
        <v>-1.9382549563210083E-5</v>
      </c>
      <c r="AR11">
        <v>-4.8742192732395583E-4</v>
      </c>
      <c r="AS11">
        <v>-3.8163941275921756E-4</v>
      </c>
      <c r="AT11">
        <v>-4.6518118951704198E-4</v>
      </c>
      <c r="AU11">
        <v>-1.0154623485915746E-4</v>
      </c>
      <c r="AV11">
        <v>-7.9508210991503659E-5</v>
      </c>
      <c r="AW11">
        <v>-9.6912747816050413E-5</v>
      </c>
      <c r="AX11">
        <v>-4.2063576398158808E-3</v>
      </c>
      <c r="AY11">
        <v>-4.6321801932277043E-3</v>
      </c>
      <c r="AZ11">
        <v>-2.181768359659453E-3</v>
      </c>
      <c r="BA11">
        <v>-2.4026354977908604E-3</v>
      </c>
      <c r="BB11">
        <v>-2.2021696363413675E-3</v>
      </c>
      <c r="BC11">
        <v>-2.4251020586148844E-3</v>
      </c>
      <c r="BD11">
        <v>-2.2192008306601749E-3</v>
      </c>
      <c r="BE11">
        <v>-2.4438573732471526E-3</v>
      </c>
      <c r="BF11">
        <v>-0.12973002143000079</v>
      </c>
      <c r="BG11">
        <v>-6.526720980429658E-2</v>
      </c>
      <c r="BH11">
        <v>-6.5075016663295737E-2</v>
      </c>
    </row>
    <row r="12" spans="1:60" customFormat="1" x14ac:dyDescent="0.25">
      <c r="A12">
        <v>7.0987105526613267E-3</v>
      </c>
      <c r="B12">
        <v>8.2239308254991456E-3</v>
      </c>
      <c r="C12">
        <v>6.8328506345655985E-3</v>
      </c>
      <c r="D12">
        <v>4.442164992145935E-3</v>
      </c>
      <c r="E12">
        <v>3.206445751830626E-3</v>
      </c>
      <c r="F12">
        <v>6.5463069648185193E-3</v>
      </c>
      <c r="G12">
        <v>4.5877878451868782E-3</v>
      </c>
      <c r="H12">
        <v>5.7771081343452081E-3</v>
      </c>
      <c r="I12">
        <v>8.2800518729376424E-3</v>
      </c>
      <c r="J12" s="9">
        <v>0.16679754801595642</v>
      </c>
      <c r="K12">
        <v>0.19499874123249394</v>
      </c>
      <c r="L12">
        <v>0.28623219673866834</v>
      </c>
      <c r="M12" s="9">
        <v>0.54160297720055872</v>
      </c>
      <c r="N12">
        <v>0.54859579686392113</v>
      </c>
      <c r="O12">
        <v>0.57107346311164431</v>
      </c>
      <c r="P12" s="9">
        <v>2.0759105682373048E-4</v>
      </c>
      <c r="Q12">
        <v>6.7012566328048711E-3</v>
      </c>
      <c r="R12">
        <v>2.4238057289581554E-3</v>
      </c>
      <c r="S12">
        <v>2.1574966697835334E-3</v>
      </c>
      <c r="T12">
        <v>8.2432484249265799E-3</v>
      </c>
      <c r="U12">
        <v>1.7622819224949399E-3</v>
      </c>
      <c r="V12">
        <v>4.5213787321745956E-3</v>
      </c>
      <c r="W12">
        <v>8.9597548199026218E-3</v>
      </c>
      <c r="X12" s="9">
        <v>6.0425428942030976E-3</v>
      </c>
      <c r="Y12">
        <v>1.3953221921662956E-2</v>
      </c>
      <c r="Z12" s="9">
        <v>0.50151063112716576</v>
      </c>
      <c r="AA12">
        <v>0.50348824888596988</v>
      </c>
      <c r="AB12" s="9">
        <v>4.7150743007659916E-3</v>
      </c>
      <c r="AC12">
        <v>6.5475404912803264E-2</v>
      </c>
      <c r="AD12">
        <v>7.3428483947375736E-2</v>
      </c>
      <c r="AE12" s="15">
        <v>0.51862189886451726</v>
      </c>
      <c r="AF12" s="15" t="b">
        <v>0</v>
      </c>
      <c r="AG12">
        <v>-0.13012286268303286</v>
      </c>
      <c r="AH12">
        <v>-4.2727939075544071E-3</v>
      </c>
      <c r="AI12">
        <v>-4.8106915240642822E-3</v>
      </c>
      <c r="AJ12">
        <v>-1.1230394069862292E-5</v>
      </c>
      <c r="AK12">
        <v>-2.3973360025994805E-5</v>
      </c>
      <c r="AL12">
        <v>-3.564728277646108E-5</v>
      </c>
      <c r="AM12">
        <v>-2.1606875838840312E-6</v>
      </c>
      <c r="AN12">
        <v>-1.4070240565132738E-5</v>
      </c>
      <c r="AO12">
        <v>-1.1230394069862292E-5</v>
      </c>
      <c r="AP12">
        <v>-2.3973360025994805E-5</v>
      </c>
      <c r="AQ12">
        <v>-3.564728277646108E-5</v>
      </c>
      <c r="AR12">
        <v>-6.7382364419173751E-5</v>
      </c>
      <c r="AS12">
        <v>-1.4384016015596884E-4</v>
      </c>
      <c r="AT12">
        <v>-2.1388369665876648E-4</v>
      </c>
      <c r="AU12">
        <v>-3.2568142802600648E-4</v>
      </c>
      <c r="AV12">
        <v>-6.952274407538493E-4</v>
      </c>
      <c r="AW12">
        <v>-1.0337712005173713E-3</v>
      </c>
      <c r="AX12">
        <v>-4.2727939075544071E-3</v>
      </c>
      <c r="AY12">
        <v>-4.8106915240642822E-3</v>
      </c>
      <c r="AZ12">
        <v>-2.3141579012958759E-3</v>
      </c>
      <c r="BA12">
        <v>-2.6054848518267085E-3</v>
      </c>
      <c r="BB12">
        <v>-2.3440367785501175E-3</v>
      </c>
      <c r="BC12">
        <v>-2.6391251501105559E-3</v>
      </c>
      <c r="BD12">
        <v>-2.4400792139494302E-3</v>
      </c>
      <c r="BE12">
        <v>-2.7472582686092237E-3</v>
      </c>
      <c r="BF12">
        <v>-0.13012286268303286</v>
      </c>
      <c r="BG12">
        <v>-6.5257998988241334E-2</v>
      </c>
      <c r="BH12">
        <v>-6.5515332272309726E-2</v>
      </c>
    </row>
    <row r="13" spans="1:60" customFormat="1" x14ac:dyDescent="0.25">
      <c r="A13">
        <v>7.2491942701134607E-3</v>
      </c>
      <c r="B13">
        <v>7.7770428019165415E-3</v>
      </c>
      <c r="C13">
        <v>2.5693859234208376E-3</v>
      </c>
      <c r="D13">
        <v>9.3023337073992111E-4</v>
      </c>
      <c r="E13">
        <v>2.0235105668305197E-3</v>
      </c>
      <c r="F13">
        <v>7.1357152014483033E-3</v>
      </c>
      <c r="G13">
        <v>5.9824127243923754E-3</v>
      </c>
      <c r="H13">
        <v>8.8160499718782405E-3</v>
      </c>
      <c r="I13">
        <v>6.6843279077383431E-3</v>
      </c>
      <c r="J13" s="9">
        <v>3.9021724633555181E-2</v>
      </c>
      <c r="K13">
        <v>5.5904313794968782E-2</v>
      </c>
      <c r="L13">
        <v>5.0262455865009159E-2</v>
      </c>
      <c r="M13" s="9">
        <v>0.50975419346800233</v>
      </c>
      <c r="N13">
        <v>0.51397243964177375</v>
      </c>
      <c r="O13">
        <v>0.51256296924335865</v>
      </c>
      <c r="P13" s="9">
        <v>1.0965347290039062E-3</v>
      </c>
      <c r="Q13">
        <v>5.328370928764343E-3</v>
      </c>
      <c r="R13">
        <v>7.6983327253734293E-3</v>
      </c>
      <c r="S13">
        <v>8.146258001388483E-3</v>
      </c>
      <c r="T13">
        <v>5.3927377420836316E-4</v>
      </c>
      <c r="U13">
        <v>9.8497989789891622E-3</v>
      </c>
      <c r="V13">
        <v>1.0233721350210861E-3</v>
      </c>
      <c r="W13">
        <v>2.8842409953678755E-3</v>
      </c>
      <c r="X13" s="9">
        <v>5.297963975839667E-3</v>
      </c>
      <c r="Y13">
        <v>1.6021840445855678E-2</v>
      </c>
      <c r="Z13" s="9">
        <v>0.50132448789593753</v>
      </c>
      <c r="AA13">
        <v>0.50400537443040561</v>
      </c>
      <c r="AB13" s="9">
        <v>4.5147913694381717E-3</v>
      </c>
      <c r="AC13">
        <v>6.6820233160452103E-2</v>
      </c>
      <c r="AD13">
        <v>7.2424653677829937E-2</v>
      </c>
      <c r="AE13" s="15">
        <v>0.51862034115095934</v>
      </c>
      <c r="AF13" s="15" t="b">
        <v>0</v>
      </c>
      <c r="AG13">
        <v>-0.13016535611241581</v>
      </c>
      <c r="AH13">
        <v>-4.3603596935698936E-3</v>
      </c>
      <c r="AI13">
        <v>-4.7513498077230631E-3</v>
      </c>
      <c r="AJ13">
        <v>-3.684157753726585E-5</v>
      </c>
      <c r="AK13">
        <v>-2.5262397183930764E-5</v>
      </c>
      <c r="AL13">
        <v>-9.3113770289676382E-6</v>
      </c>
      <c r="AM13">
        <v>-3.0366665422608273E-7</v>
      </c>
      <c r="AN13">
        <v>-2.5267818778139969E-6</v>
      </c>
      <c r="AO13">
        <v>-3.684157753726585E-5</v>
      </c>
      <c r="AP13">
        <v>-2.5262397183930764E-5</v>
      </c>
      <c r="AQ13">
        <v>-9.3113770289676382E-6</v>
      </c>
      <c r="AR13">
        <v>-7.3683155074531699E-5</v>
      </c>
      <c r="AS13">
        <v>-5.0524794367861528E-5</v>
      </c>
      <c r="AT13">
        <v>-1.8622754057935276E-5</v>
      </c>
      <c r="AU13">
        <v>-1.8420788768632926E-4</v>
      </c>
      <c r="AV13">
        <v>-1.2631198591965382E-4</v>
      </c>
      <c r="AW13">
        <v>-4.6556885144838189E-5</v>
      </c>
      <c r="AX13">
        <v>-4.3603596935698936E-3</v>
      </c>
      <c r="AY13">
        <v>-4.7513498077230631E-3</v>
      </c>
      <c r="AZ13">
        <v>-2.2227116388261071E-3</v>
      </c>
      <c r="BA13">
        <v>-2.4220204891202178E-3</v>
      </c>
      <c r="BB13">
        <v>-2.2411047094197754E-3</v>
      </c>
      <c r="BC13">
        <v>-2.4420628522668956E-3</v>
      </c>
      <c r="BD13">
        <v>-2.2349589115052463E-3</v>
      </c>
      <c r="BE13">
        <v>-2.4353659653603946E-3</v>
      </c>
      <c r="BF13">
        <v>-0.13016535611241581</v>
      </c>
      <c r="BG13">
        <v>-6.5255080494849196E-2</v>
      </c>
      <c r="BH13">
        <v>-6.5604039045305221E-2</v>
      </c>
    </row>
    <row r="14" spans="1:60" customFormat="1" x14ac:dyDescent="0.25">
      <c r="A14">
        <v>7.6854423290105664E-4</v>
      </c>
      <c r="B14">
        <v>4.7124519076604835E-3</v>
      </c>
      <c r="C14">
        <v>6.1463664779983574E-3</v>
      </c>
      <c r="D14">
        <v>6.4659988773770743E-3</v>
      </c>
      <c r="E14">
        <v>8.8183707905969532E-3</v>
      </c>
      <c r="F14">
        <v>1.6963591802338866E-3</v>
      </c>
      <c r="G14">
        <v>4.975498414931616E-3</v>
      </c>
      <c r="H14">
        <v>3.4502873844451847E-3</v>
      </c>
      <c r="I14">
        <v>1.7785538820046321E-4</v>
      </c>
      <c r="J14" s="9">
        <v>0.22909449305147961</v>
      </c>
      <c r="K14">
        <v>0.26273957824251337</v>
      </c>
      <c r="L14">
        <v>4.8008313834585162E-2</v>
      </c>
      <c r="M14" s="9">
        <v>0.55702443392812273</v>
      </c>
      <c r="N14">
        <v>0.56530962116438177</v>
      </c>
      <c r="O14">
        <v>0.51199977379242434</v>
      </c>
      <c r="P14" s="9">
        <v>4.5887804031372074E-3</v>
      </c>
      <c r="Q14">
        <v>4.4268292188644406E-3</v>
      </c>
      <c r="R14">
        <v>6.5745089978673796E-3</v>
      </c>
      <c r="S14">
        <v>7.3778269666791435E-3</v>
      </c>
      <c r="T14">
        <v>9.1864265141826142E-3</v>
      </c>
      <c r="U14">
        <v>9.1820381285015913E-3</v>
      </c>
      <c r="V14">
        <v>1.1314446803758202E-3</v>
      </c>
      <c r="W14">
        <v>2.5299927030530229E-3</v>
      </c>
      <c r="X14" s="9">
        <v>1.3444117848616641E-2</v>
      </c>
      <c r="Y14">
        <v>1.5022509296198304E-2</v>
      </c>
      <c r="Z14" s="9">
        <v>0.50336097883915798</v>
      </c>
      <c r="AA14">
        <v>0.50375555669613126</v>
      </c>
      <c r="AB14" s="9">
        <v>5.7323670387268068E-3</v>
      </c>
      <c r="AC14">
        <v>6.3953243808322041E-2</v>
      </c>
      <c r="AD14">
        <v>6.6044983988591238E-2</v>
      </c>
      <c r="AE14" s="15">
        <v>0.51779110142331397</v>
      </c>
      <c r="AF14" s="15" t="b">
        <v>0</v>
      </c>
      <c r="AG14">
        <v>-0.13020393575628042</v>
      </c>
      <c r="AH14">
        <v>-4.1914687740727628E-3</v>
      </c>
      <c r="AI14">
        <v>-4.3319536481242673E-3</v>
      </c>
      <c r="AJ14">
        <v>-3.3152564502713803E-5</v>
      </c>
      <c r="AK14">
        <v>-4.4252880035151071E-5</v>
      </c>
      <c r="AL14">
        <v>-8.0395362455948907E-6</v>
      </c>
      <c r="AM14">
        <v>-1.4219535885491046E-5</v>
      </c>
      <c r="AN14">
        <v>-5.1050489709556893E-6</v>
      </c>
      <c r="AO14">
        <v>-3.3152564502713803E-5</v>
      </c>
      <c r="AP14">
        <v>-4.4252880035151071E-5</v>
      </c>
      <c r="AQ14">
        <v>-8.0395362455948907E-6</v>
      </c>
      <c r="AR14">
        <v>-7.6250898356241745E-4</v>
      </c>
      <c r="AS14">
        <v>-1.0178162408084747E-3</v>
      </c>
      <c r="AT14">
        <v>-1.849093336486825E-4</v>
      </c>
      <c r="AU14">
        <v>-5.3044103204342085E-4</v>
      </c>
      <c r="AV14">
        <v>-7.0804608056241713E-4</v>
      </c>
      <c r="AW14">
        <v>-1.2863257992951825E-4</v>
      </c>
      <c r="AX14">
        <v>-4.1914687740727628E-3</v>
      </c>
      <c r="AY14">
        <v>-4.3319536481242673E-3</v>
      </c>
      <c r="AZ14">
        <v>-2.3347505212052834E-3</v>
      </c>
      <c r="BA14">
        <v>-2.4130040286492863E-3</v>
      </c>
      <c r="BB14">
        <v>-2.3694776247934093E-3</v>
      </c>
      <c r="BC14">
        <v>-2.4488950757227913E-3</v>
      </c>
      <c r="BD14">
        <v>-2.1460310641832647E-3</v>
      </c>
      <c r="BE14">
        <v>-2.2179592879188921E-3</v>
      </c>
      <c r="BF14">
        <v>-0.13020393575628042</v>
      </c>
      <c r="BG14">
        <v>-6.5539580550992155E-2</v>
      </c>
      <c r="BH14">
        <v>-6.5590956140932355E-2</v>
      </c>
    </row>
    <row r="15" spans="1:60" customFormat="1" x14ac:dyDescent="0.25">
      <c r="A15">
        <v>2.7823418262423864E-3</v>
      </c>
      <c r="B15">
        <v>8.1118462717804773E-3</v>
      </c>
      <c r="C15">
        <v>6.9918689089117471E-3</v>
      </c>
      <c r="D15">
        <v>2.6603409718021494E-3</v>
      </c>
      <c r="E15">
        <v>8.376287013971459E-3</v>
      </c>
      <c r="F15">
        <v>5.3271021373521039E-3</v>
      </c>
      <c r="G15">
        <v>6.3348400359991763E-3</v>
      </c>
      <c r="H15">
        <v>4.2478849959916793E-3</v>
      </c>
      <c r="I15">
        <v>6.9822722588177583E-3</v>
      </c>
      <c r="J15" s="9">
        <v>8.1960546193294473E-2</v>
      </c>
      <c r="K15">
        <v>0.22601479161305033</v>
      </c>
      <c r="L15">
        <v>0.15413396686034986</v>
      </c>
      <c r="M15" s="9">
        <v>0.52047867398742564</v>
      </c>
      <c r="N15">
        <v>0.55626439022192875</v>
      </c>
      <c r="O15">
        <v>0.53845738494046536</v>
      </c>
      <c r="P15" s="9">
        <v>9.5954608917236325E-3</v>
      </c>
      <c r="Q15">
        <v>2.2632330656051636E-3</v>
      </c>
      <c r="R15">
        <v>9.6565591314659339E-3</v>
      </c>
      <c r="S15">
        <v>4.089331164509628E-3</v>
      </c>
      <c r="T15">
        <v>6.4036214780214783E-3</v>
      </c>
      <c r="U15">
        <v>9.1876295992407847E-3</v>
      </c>
      <c r="V15">
        <v>1.4715777594092208E-3</v>
      </c>
      <c r="W15">
        <v>4.1555394400673573E-3</v>
      </c>
      <c r="X15" s="9">
        <v>1.8183600580433851E-2</v>
      </c>
      <c r="Y15">
        <v>1.1739974804126842E-2</v>
      </c>
      <c r="Z15" s="9">
        <v>0.50454577489328634</v>
      </c>
      <c r="AA15">
        <v>0.5029349599913796</v>
      </c>
      <c r="AB15" s="9">
        <v>9.1145378351211552E-3</v>
      </c>
      <c r="AC15">
        <v>6.9052311513007919E-2</v>
      </c>
      <c r="AD15">
        <v>7.2591164105205636E-2</v>
      </c>
      <c r="AE15" s="15">
        <v>0.52010496000841322</v>
      </c>
      <c r="AF15" s="15" t="b">
        <v>0</v>
      </c>
      <c r="AG15">
        <v>-0.13078712782418739</v>
      </c>
      <c r="AH15">
        <v>-4.5566303370068876E-3</v>
      </c>
      <c r="AI15">
        <v>-4.7748594097609945E-3</v>
      </c>
      <c r="AJ15">
        <v>-3.3064631764352909E-5</v>
      </c>
      <c r="AK15">
        <v>-4.0634321328668322E-5</v>
      </c>
      <c r="AL15">
        <v>-1.4294725674088392E-5</v>
      </c>
      <c r="AM15">
        <v>-1.2611934908960627E-5</v>
      </c>
      <c r="AN15">
        <v>-9.6375748698469013E-7</v>
      </c>
      <c r="AO15">
        <v>-3.3064631764352909E-5</v>
      </c>
      <c r="AP15">
        <v>-4.0634321328668322E-5</v>
      </c>
      <c r="AQ15">
        <v>-1.4294725674088392E-5</v>
      </c>
      <c r="AR15">
        <v>-8.266157941088227E-4</v>
      </c>
      <c r="AS15">
        <v>-1.0158580332167082E-3</v>
      </c>
      <c r="AT15">
        <v>-3.5736814185220977E-4</v>
      </c>
      <c r="AU15">
        <v>-6.6129263528705819E-5</v>
      </c>
      <c r="AV15">
        <v>-8.1268642657336644E-5</v>
      </c>
      <c r="AW15">
        <v>-2.8589451348176783E-5</v>
      </c>
      <c r="AX15">
        <v>-4.5566303370068876E-3</v>
      </c>
      <c r="AY15">
        <v>-4.7748594097609945E-3</v>
      </c>
      <c r="AZ15">
        <v>-2.3716289156562212E-3</v>
      </c>
      <c r="BA15">
        <v>-2.4852124940687842E-3</v>
      </c>
      <c r="BB15">
        <v>-2.5346911958818779E-3</v>
      </c>
      <c r="BC15">
        <v>-2.656084257966138E-3</v>
      </c>
      <c r="BD15">
        <v>-2.4535512554051202E-3</v>
      </c>
      <c r="BE15">
        <v>-2.5710583112382788E-3</v>
      </c>
      <c r="BF15">
        <v>-0.13078712782418739</v>
      </c>
      <c r="BG15">
        <v>-6.5988092754121916E-2</v>
      </c>
      <c r="BH15">
        <v>-6.577741889964514E-2</v>
      </c>
    </row>
    <row r="16" spans="1:60" customFormat="1" x14ac:dyDescent="0.25">
      <c r="A16">
        <v>1.219417729603219E-3</v>
      </c>
      <c r="B16">
        <v>5.5512552974354822E-3</v>
      </c>
      <c r="C16">
        <v>8.3112736622539662E-3</v>
      </c>
      <c r="D16">
        <v>2.217440372381807E-3</v>
      </c>
      <c r="E16">
        <v>6.3053798619200751E-3</v>
      </c>
      <c r="F16">
        <v>1.4772013824370916E-3</v>
      </c>
      <c r="G16">
        <v>2.3179107572481663E-4</v>
      </c>
      <c r="H16">
        <v>8.1436254595092683E-4</v>
      </c>
      <c r="I16">
        <v>6.985598413223446E-5</v>
      </c>
      <c r="J16" s="9">
        <v>6.0595875326470275E-2</v>
      </c>
      <c r="K16">
        <v>0.1770299151266031</v>
      </c>
      <c r="L16">
        <v>4.6428859953429248E-2</v>
      </c>
      <c r="M16" s="9">
        <v>0.51514433512518321</v>
      </c>
      <c r="N16">
        <v>0.54414225559983231</v>
      </c>
      <c r="O16">
        <v>0.51160513035724953</v>
      </c>
      <c r="P16" s="9">
        <v>2.0589590072631835E-3</v>
      </c>
      <c r="Q16">
        <v>6.0104340314865116E-3</v>
      </c>
      <c r="R16">
        <v>1.0110905069500445E-2</v>
      </c>
      <c r="S16">
        <v>3.5096583366402102E-3</v>
      </c>
      <c r="T16">
        <v>3.1892466868118324E-3</v>
      </c>
      <c r="U16">
        <v>1.5527949209910962E-3</v>
      </c>
      <c r="V16">
        <v>3.7031823030709808E-3</v>
      </c>
      <c r="W16">
        <v>7.3567291261035428E-3</v>
      </c>
      <c r="X16" s="9">
        <v>9.0029383626309169E-3</v>
      </c>
      <c r="Y16">
        <v>1.2427096336186825E-2</v>
      </c>
      <c r="Z16" s="9">
        <v>0.5022507193884006</v>
      </c>
      <c r="AA16">
        <v>0.50310673410236562</v>
      </c>
      <c r="AB16" s="9">
        <v>4.4896519184112549E-3</v>
      </c>
      <c r="AC16">
        <v>7.2060785937938257E-2</v>
      </c>
      <c r="AD16">
        <v>6.8228731115753838E-2</v>
      </c>
      <c r="AE16" s="15">
        <v>0.51874335476373123</v>
      </c>
      <c r="AF16" s="15" t="b">
        <v>0</v>
      </c>
      <c r="AG16">
        <v>-0.13019740672534919</v>
      </c>
      <c r="AH16">
        <v>-4.7121802640240481E-3</v>
      </c>
      <c r="AI16">
        <v>-4.4691996800720821E-3</v>
      </c>
      <c r="AJ16">
        <v>-3.2623972896584708E-5</v>
      </c>
      <c r="AK16">
        <v>-1.1953747466155855E-5</v>
      </c>
      <c r="AL16">
        <v>-2.5748448760799329E-5</v>
      </c>
      <c r="AM16">
        <v>-4.6437569315254358E-6</v>
      </c>
      <c r="AN16">
        <v>-3.2462032474635468E-7</v>
      </c>
      <c r="AO16">
        <v>-3.2623972896584708E-5</v>
      </c>
      <c r="AP16">
        <v>-1.1953747466155855E-5</v>
      </c>
      <c r="AQ16">
        <v>-2.5748448760799329E-5</v>
      </c>
      <c r="AR16">
        <v>-8.1559932241461776E-4</v>
      </c>
      <c r="AS16">
        <v>-2.9884368665389637E-4</v>
      </c>
      <c r="AT16">
        <v>-6.4371121901998318E-4</v>
      </c>
      <c r="AU16">
        <v>-5.5460753924194009E-4</v>
      </c>
      <c r="AV16">
        <v>-2.0321370692464954E-4</v>
      </c>
      <c r="AW16">
        <v>-4.3772362893358858E-4</v>
      </c>
      <c r="AX16">
        <v>-4.7121802640240481E-3</v>
      </c>
      <c r="AY16">
        <v>-4.4691996800720821E-3</v>
      </c>
      <c r="AZ16">
        <v>-2.4274529691006787E-3</v>
      </c>
      <c r="BA16">
        <v>-2.3022828977324141E-3</v>
      </c>
      <c r="BB16">
        <v>-2.564096397659059E-3</v>
      </c>
      <c r="BC16">
        <v>-2.4318803946404718E-3</v>
      </c>
      <c r="BD16">
        <v>-2.4107755982428814E-3</v>
      </c>
      <c r="BE16">
        <v>-2.2864654849158554E-3</v>
      </c>
      <c r="BF16">
        <v>-0.13019740672534919</v>
      </c>
      <c r="BG16">
        <v>-6.5391741190310812E-2</v>
      </c>
      <c r="BH16">
        <v>-6.5503192086187795E-2</v>
      </c>
    </row>
    <row r="17" spans="1:60" customFormat="1" x14ac:dyDescent="0.25">
      <c r="A17">
        <v>3.4259752144118615E-3</v>
      </c>
      <c r="B17">
        <v>6.8427123311852866E-3</v>
      </c>
      <c r="C17">
        <v>5.0674077274421823E-3</v>
      </c>
      <c r="D17">
        <v>6.8898315551987003E-3</v>
      </c>
      <c r="E17">
        <v>6.6231295193230439E-3</v>
      </c>
      <c r="F17">
        <v>9.0514130638499318E-3</v>
      </c>
      <c r="G17">
        <v>6.0022518423501836E-3</v>
      </c>
      <c r="H17">
        <v>4.2433396134037805E-3</v>
      </c>
      <c r="I17">
        <v>6.4875963944375234E-3</v>
      </c>
      <c r="J17" s="9">
        <v>0.21591236756513366</v>
      </c>
      <c r="K17">
        <v>0.1973647477962493</v>
      </c>
      <c r="L17">
        <v>0.27163827574592836</v>
      </c>
      <c r="M17" s="9">
        <v>0.55376936830060752</v>
      </c>
      <c r="N17">
        <v>0.54918164342582687</v>
      </c>
      <c r="O17">
        <v>0.5674950549797031</v>
      </c>
      <c r="P17" s="9">
        <v>9.9529075622558603E-3</v>
      </c>
      <c r="Q17">
        <v>6.747533679008484E-3</v>
      </c>
      <c r="R17">
        <v>9.5619076038738968E-3</v>
      </c>
      <c r="S17">
        <v>4.5451454480252337E-3</v>
      </c>
      <c r="T17">
        <v>5.2544903908473524E-3</v>
      </c>
      <c r="U17">
        <v>2.8386121026714763E-3</v>
      </c>
      <c r="V17">
        <v>4.9537556467458817E-4</v>
      </c>
      <c r="W17">
        <v>8.0355541000897302E-3</v>
      </c>
      <c r="X17" s="9">
        <v>1.8133668764012647E-2</v>
      </c>
      <c r="Y17">
        <v>1.5383546878012161E-2</v>
      </c>
      <c r="Z17" s="9">
        <v>0.50453329296814498</v>
      </c>
      <c r="AA17">
        <v>0.50384581087608049</v>
      </c>
      <c r="AB17" s="9">
        <v>6.7559808492660524E-3</v>
      </c>
      <c r="AC17">
        <v>6.9558058907357181E-2</v>
      </c>
      <c r="AD17">
        <v>6.4972011712145991E-2</v>
      </c>
      <c r="AE17" s="15">
        <v>0.51863791373644053</v>
      </c>
      <c r="AF17" s="15" t="b">
        <v>0</v>
      </c>
      <c r="AG17">
        <v>-0.13056423888687341</v>
      </c>
      <c r="AH17">
        <v>-4.5820679473445808E-3</v>
      </c>
      <c r="AI17">
        <v>-4.2741347244892799E-3</v>
      </c>
      <c r="AJ17">
        <v>-3.5020305261592669E-5</v>
      </c>
      <c r="AK17">
        <v>-1.9885341498282523E-5</v>
      </c>
      <c r="AL17">
        <v>-2.0778766350087101E-5</v>
      </c>
      <c r="AM17">
        <v>-1.2904481055904323E-5</v>
      </c>
      <c r="AN17">
        <v>-3.8644667886192262E-6</v>
      </c>
      <c r="AO17">
        <v>-3.5020305261592669E-5</v>
      </c>
      <c r="AP17">
        <v>-1.9885341498282523E-5</v>
      </c>
      <c r="AQ17">
        <v>-2.0778766350087101E-5</v>
      </c>
      <c r="AR17">
        <v>-8.0546702101663139E-4</v>
      </c>
      <c r="AS17">
        <v>-4.5736285446049802E-4</v>
      </c>
      <c r="AT17">
        <v>-4.7791162605200334E-4</v>
      </c>
      <c r="AU17">
        <v>-3.1518274735433402E-4</v>
      </c>
      <c r="AV17">
        <v>-1.7896807348454272E-4</v>
      </c>
      <c r="AW17">
        <v>-1.870088971507839E-4</v>
      </c>
      <c r="AX17">
        <v>-4.5820679473445808E-3</v>
      </c>
      <c r="AY17">
        <v>-4.2741347244892799E-3</v>
      </c>
      <c r="AZ17">
        <v>-2.53740887271147E-3</v>
      </c>
      <c r="BA17">
        <v>-2.3668848864121196E-3</v>
      </c>
      <c r="BB17">
        <v>-2.5163876056115021E-3</v>
      </c>
      <c r="BC17">
        <v>-2.3472763322184165E-3</v>
      </c>
      <c r="BD17">
        <v>-2.6003009016990482E-3</v>
      </c>
      <c r="BE17">
        <v>-2.4255503204647019E-3</v>
      </c>
      <c r="BF17">
        <v>-0.13056423888687341</v>
      </c>
      <c r="BG17">
        <v>-6.5874005389473772E-2</v>
      </c>
      <c r="BH17">
        <v>-6.5784244813375012E-2</v>
      </c>
    </row>
    <row r="18" spans="1:60" customFormat="1" x14ac:dyDescent="0.25">
      <c r="A18">
        <v>5.6191505319720982E-3</v>
      </c>
      <c r="B18">
        <v>9.9308775506923869E-3</v>
      </c>
      <c r="C18">
        <v>3.6501277560362054E-3</v>
      </c>
      <c r="D18">
        <v>6.90248966217041E-3</v>
      </c>
      <c r="E18">
        <v>7.8648269176483153E-4</v>
      </c>
      <c r="F18">
        <v>7.5836002826690672E-3</v>
      </c>
      <c r="G18">
        <v>3.7326416543286955E-3</v>
      </c>
      <c r="H18">
        <v>1.1518022048043501E-4</v>
      </c>
      <c r="I18">
        <v>3.4611585596423158E-3</v>
      </c>
      <c r="J18" s="9">
        <v>9.8935191890189483E-2</v>
      </c>
      <c r="K18">
        <v>1.2810383062703263E-2</v>
      </c>
      <c r="L18">
        <v>9.0179091747094098E-2</v>
      </c>
      <c r="M18" s="9">
        <v>0.52471364281107202</v>
      </c>
      <c r="N18">
        <v>0.50320255196931907</v>
      </c>
      <c r="O18">
        <v>0.52252950700558654</v>
      </c>
      <c r="P18" s="9">
        <v>8.2821893692016611E-3</v>
      </c>
      <c r="Q18">
        <v>4.459883570671082E-3</v>
      </c>
      <c r="R18">
        <v>3.1767587731572886E-3</v>
      </c>
      <c r="S18">
        <v>7.4526084684662618E-3</v>
      </c>
      <c r="T18">
        <v>8.1572081486540292E-3</v>
      </c>
      <c r="U18">
        <v>2.294335558661082E-3</v>
      </c>
      <c r="V18">
        <v>5.0433809844855726E-4</v>
      </c>
      <c r="W18">
        <v>5.8816496009716701E-3</v>
      </c>
      <c r="X18" s="9">
        <v>1.4053805994744687E-2</v>
      </c>
      <c r="Y18">
        <v>1.2598219883172199E-2</v>
      </c>
      <c r="Z18" s="9">
        <v>0.50351339367150183</v>
      </c>
      <c r="AA18">
        <v>0.50314951331461488</v>
      </c>
      <c r="AB18" s="9">
        <v>6.5410518646240234E-3</v>
      </c>
      <c r="AC18">
        <v>6.5132015927316878E-2</v>
      </c>
      <c r="AD18">
        <v>6.4591215787612538E-2</v>
      </c>
      <c r="AE18" s="15">
        <v>0.51795101459937976</v>
      </c>
      <c r="AF18" s="15" t="b">
        <v>0</v>
      </c>
      <c r="AG18">
        <v>-0.13018250246434918</v>
      </c>
      <c r="AH18">
        <v>-4.2693146484614562E-3</v>
      </c>
      <c r="AI18">
        <v>-4.2308061970995252E-3</v>
      </c>
      <c r="AJ18">
        <v>-2.366097780987721E-5</v>
      </c>
      <c r="AK18">
        <v>-2.2408906562960626E-5</v>
      </c>
      <c r="AL18">
        <v>-1.4127785792192908E-5</v>
      </c>
      <c r="AM18">
        <v>0</v>
      </c>
      <c r="AN18">
        <v>-3.4949380219345869E-6</v>
      </c>
      <c r="AO18">
        <v>-2.366097780987721E-5</v>
      </c>
      <c r="AP18">
        <v>-2.2408906562960626E-5</v>
      </c>
      <c r="AQ18">
        <v>-1.4127785792192908E-5</v>
      </c>
      <c r="AR18">
        <v>0</v>
      </c>
      <c r="AS18">
        <v>0</v>
      </c>
      <c r="AT18">
        <v>0</v>
      </c>
      <c r="AU18">
        <v>-5.9152444524693021E-4</v>
      </c>
      <c r="AV18">
        <v>-5.6022266407401559E-4</v>
      </c>
      <c r="AW18">
        <v>-3.5319464480482269E-4</v>
      </c>
      <c r="AX18">
        <v>-4.2693146484614562E-3</v>
      </c>
      <c r="AY18">
        <v>-4.2308061970995252E-3</v>
      </c>
      <c r="AZ18">
        <v>-2.2401676415008819E-3</v>
      </c>
      <c r="BA18">
        <v>-2.2199617317077503E-3</v>
      </c>
      <c r="BB18">
        <v>-2.1483300262658011E-3</v>
      </c>
      <c r="BC18">
        <v>-2.1289524752680909E-3</v>
      </c>
      <c r="BD18">
        <v>-2.2308428785122935E-3</v>
      </c>
      <c r="BE18">
        <v>-2.2107210764065952E-3</v>
      </c>
      <c r="BF18">
        <v>-0.13018250246434918</v>
      </c>
      <c r="BG18">
        <v>-6.5548633612473109E-2</v>
      </c>
      <c r="BH18">
        <v>-6.5501262757015941E-2</v>
      </c>
    </row>
    <row r="19" spans="1:60" customFormat="1" x14ac:dyDescent="0.25">
      <c r="A19">
        <v>5.2791253952310744E-3</v>
      </c>
      <c r="B19">
        <v>6.0513049663184172E-3</v>
      </c>
      <c r="C19">
        <v>9.3742697797264442E-3</v>
      </c>
      <c r="D19">
        <v>9.3757606511951971E-3</v>
      </c>
      <c r="E19">
        <v>8.940657766065516E-3</v>
      </c>
      <c r="F19">
        <v>3.5253325806652845E-3</v>
      </c>
      <c r="G19">
        <v>4.2675429061085424E-3</v>
      </c>
      <c r="H19">
        <v>5.5842639233543642E-3</v>
      </c>
      <c r="I19">
        <v>4.752275038857344E-4</v>
      </c>
      <c r="J19" s="9">
        <v>0.22958504360737367</v>
      </c>
      <c r="K19">
        <v>0.2563021900856749</v>
      </c>
      <c r="L19">
        <v>6.6609053421632772E-2</v>
      </c>
      <c r="M19" s="9">
        <v>0.55714547301333639</v>
      </c>
      <c r="N19">
        <v>0.56372707194133242</v>
      </c>
      <c r="O19">
        <v>0.51664610923617915</v>
      </c>
      <c r="P19" s="9">
        <v>4.0829372406005864E-3</v>
      </c>
      <c r="Q19">
        <v>3.0390852689743042E-3</v>
      </c>
      <c r="R19">
        <v>4.7363575786097175E-3</v>
      </c>
      <c r="S19">
        <v>7.3155425548312213E-3</v>
      </c>
      <c r="T19">
        <v>2.2688486150569654E-3</v>
      </c>
      <c r="U19">
        <v>5.1843624567697007E-3</v>
      </c>
      <c r="V19">
        <v>3.5227924283179799E-3</v>
      </c>
      <c r="W19">
        <v>7.9435195654881975E-3</v>
      </c>
      <c r="X19" s="9">
        <v>8.0007888105396077E-3</v>
      </c>
      <c r="Y19">
        <v>1.4141460630823234E-2</v>
      </c>
      <c r="Z19" s="9">
        <v>0.50200018653288092</v>
      </c>
      <c r="AA19">
        <v>0.50353530624175591</v>
      </c>
      <c r="AB19" s="9">
        <v>9.1184264421463011E-3</v>
      </c>
      <c r="AC19">
        <v>7.1778051240796448E-2</v>
      </c>
      <c r="AD19">
        <v>6.7110734991819201E-2</v>
      </c>
      <c r="AE19" s="15">
        <v>0.51972566821628108</v>
      </c>
      <c r="AF19" s="15" t="b">
        <v>0</v>
      </c>
      <c r="AG19">
        <v>-0.13044730576222546</v>
      </c>
      <c r="AH19">
        <v>-4.7003549519615117E-3</v>
      </c>
      <c r="AI19">
        <v>-4.4081568201658292E-3</v>
      </c>
      <c r="AJ19">
        <v>-3.0370345501318645E-5</v>
      </c>
      <c r="AK19">
        <v>-1.8894934402434952E-5</v>
      </c>
      <c r="AL19">
        <v>-2.6645844729303318E-5</v>
      </c>
      <c r="AM19">
        <v>-7.1189780594719321E-6</v>
      </c>
      <c r="AN19">
        <v>-5.9468133911403918E-6</v>
      </c>
      <c r="AO19">
        <v>-3.0370345501318645E-5</v>
      </c>
      <c r="AP19">
        <v>-1.8894934402434952E-5</v>
      </c>
      <c r="AQ19">
        <v>-2.6645844729303318E-5</v>
      </c>
      <c r="AR19">
        <v>-3.9481449151714237E-4</v>
      </c>
      <c r="AS19">
        <v>-2.4563414723165439E-4</v>
      </c>
      <c r="AT19">
        <v>-3.4639598148094312E-4</v>
      </c>
      <c r="AU19">
        <v>-7.2888829203164747E-4</v>
      </c>
      <c r="AV19">
        <v>-4.5347842565843883E-4</v>
      </c>
      <c r="AW19">
        <v>-6.3950027350327958E-4</v>
      </c>
      <c r="AX19">
        <v>-4.7003549519615117E-3</v>
      </c>
      <c r="AY19">
        <v>-4.4081568201658292E-3</v>
      </c>
      <c r="AZ19">
        <v>-2.6187814830411745E-3</v>
      </c>
      <c r="BA19">
        <v>-2.4559846166882556E-3</v>
      </c>
      <c r="BB19">
        <v>-2.6497173341542054E-3</v>
      </c>
      <c r="BC19">
        <v>-2.4849973368902974E-3</v>
      </c>
      <c r="BD19">
        <v>-2.4284200979599229E-3</v>
      </c>
      <c r="BE19">
        <v>-2.2774570700416033E-3</v>
      </c>
      <c r="BF19">
        <v>-0.13044730576222546</v>
      </c>
      <c r="BG19">
        <v>-6.5484571825348933E-2</v>
      </c>
      <c r="BH19">
        <v>-6.5684824055394164E-2</v>
      </c>
    </row>
    <row r="20" spans="1:60" customFormat="1" x14ac:dyDescent="0.25">
      <c r="A20">
        <v>1.0132799168327748E-3</v>
      </c>
      <c r="B20">
        <v>8.0716147630737461E-3</v>
      </c>
      <c r="C20">
        <v>7.5283686636739809E-3</v>
      </c>
      <c r="D20">
        <v>6.650247953225402E-3</v>
      </c>
      <c r="E20">
        <v>8.7999724052934478E-3</v>
      </c>
      <c r="F20">
        <v>8.3272414910189555E-3</v>
      </c>
      <c r="G20">
        <v>8.6310753104669995E-3</v>
      </c>
      <c r="H20">
        <v>5.9987094241675744E-4</v>
      </c>
      <c r="I20">
        <v>8.1851543637605651E-3</v>
      </c>
      <c r="J20" s="9">
        <v>0.28131181485352019</v>
      </c>
      <c r="K20">
        <v>0.11926821383930385</v>
      </c>
      <c r="L20">
        <v>0.29557172979513607</v>
      </c>
      <c r="M20" s="9">
        <v>0.56986780344314902</v>
      </c>
      <c r="N20">
        <v>0.5297817582654375</v>
      </c>
      <c r="O20">
        <v>0.57335963414925983</v>
      </c>
      <c r="P20" s="9">
        <v>1.4225339889526367E-3</v>
      </c>
      <c r="Q20">
        <v>5.2829903364181516E-3</v>
      </c>
      <c r="R20">
        <v>1.0011143317138036E-2</v>
      </c>
      <c r="S20">
        <v>9.3344290882923422E-3</v>
      </c>
      <c r="T20">
        <v>6.190038964577157E-3</v>
      </c>
      <c r="U20">
        <v>8.1399300879347672E-3</v>
      </c>
      <c r="V20">
        <v>3.8954350880383436E-3</v>
      </c>
      <c r="W20">
        <v>3.8779180105167699E-3</v>
      </c>
      <c r="X20" s="9">
        <v>1.0406931967429905E-2</v>
      </c>
      <c r="Y20">
        <v>1.7138209063273683E-2</v>
      </c>
      <c r="Z20" s="9">
        <v>0.50260170951055383</v>
      </c>
      <c r="AA20">
        <v>0.50428444739798006</v>
      </c>
      <c r="AB20" s="9">
        <v>2.2484290599822996E-3</v>
      </c>
      <c r="AC20">
        <v>6.5823047607573154E-2</v>
      </c>
      <c r="AD20">
        <v>6.7689625037333792E-2</v>
      </c>
      <c r="AE20" s="15">
        <v>0.51735952743619762</v>
      </c>
      <c r="AF20" s="15" t="b">
        <v>0</v>
      </c>
      <c r="AG20">
        <v>-0.130073555028064</v>
      </c>
      <c r="AH20">
        <v>-4.3031943173946156E-3</v>
      </c>
      <c r="AI20">
        <v>-4.4400380583710332E-3</v>
      </c>
      <c r="AJ20">
        <v>-4.816814187049726E-5</v>
      </c>
      <c r="AK20">
        <v>-3.3258925238819987E-5</v>
      </c>
      <c r="AL20">
        <v>-1.948328653397067E-5</v>
      </c>
      <c r="AM20">
        <v>-8.5277471754570728E-6</v>
      </c>
      <c r="AN20">
        <v>-1.4284023136085459E-5</v>
      </c>
      <c r="AO20">
        <v>-4.816814187049726E-5</v>
      </c>
      <c r="AP20">
        <v>-3.3258925238819987E-5</v>
      </c>
      <c r="AQ20">
        <v>-1.948328653397067E-5</v>
      </c>
      <c r="AR20">
        <v>-5.2984956057546982E-4</v>
      </c>
      <c r="AS20">
        <v>-3.6584817762701986E-4</v>
      </c>
      <c r="AT20">
        <v>-2.1431615187367736E-4</v>
      </c>
      <c r="AU20">
        <v>-1.1560354048919344E-3</v>
      </c>
      <c r="AV20">
        <v>-7.9821420573167974E-4</v>
      </c>
      <c r="AW20">
        <v>-4.675988768152961E-4</v>
      </c>
      <c r="AX20">
        <v>-4.3031943173946156E-3</v>
      </c>
      <c r="AY20">
        <v>-4.4400380583710332E-3</v>
      </c>
      <c r="AZ20">
        <v>-2.4522518934427108E-3</v>
      </c>
      <c r="BA20">
        <v>-2.5302347355278848E-3</v>
      </c>
      <c r="BB20">
        <v>-2.2797538516271584E-3</v>
      </c>
      <c r="BC20">
        <v>-2.3522511693292651E-3</v>
      </c>
      <c r="BD20">
        <v>-2.4672779194945507E-3</v>
      </c>
      <c r="BE20">
        <v>-2.5457385967564057E-3</v>
      </c>
      <c r="BF20">
        <v>-0.130073555028064</v>
      </c>
      <c r="BG20">
        <v>-6.5375191119220064E-2</v>
      </c>
      <c r="BH20">
        <v>-6.5594070818418004E-2</v>
      </c>
    </row>
    <row r="21" spans="1:60" customFormat="1" x14ac:dyDescent="0.25">
      <c r="A21">
        <v>9.0940152523387198E-3</v>
      </c>
      <c r="B21">
        <v>2.0073947659753929E-3</v>
      </c>
      <c r="C21">
        <v>5.5647336187389573E-3</v>
      </c>
      <c r="D21">
        <v>9.913421506620881E-3</v>
      </c>
      <c r="E21">
        <v>6.3921017480356957E-3</v>
      </c>
      <c r="F21">
        <v>5.5832212019504817E-3</v>
      </c>
      <c r="G21">
        <v>1.5644161417520969E-3</v>
      </c>
      <c r="H21">
        <v>4.8380083172735681E-3</v>
      </c>
      <c r="I21">
        <v>5.6131578846462119E-3</v>
      </c>
      <c r="J21" s="9">
        <v>0.23552193593629409</v>
      </c>
      <c r="K21">
        <v>0.21693357943761354</v>
      </c>
      <c r="L21">
        <v>0.2182659995813804</v>
      </c>
      <c r="M21" s="9">
        <v>0.55860980744905797</v>
      </c>
      <c r="N21">
        <v>0.55402170491944924</v>
      </c>
      <c r="O21">
        <v>0.55435089775038282</v>
      </c>
      <c r="P21" s="9">
        <v>6.399612426757813E-3</v>
      </c>
      <c r="Q21">
        <v>7.8957003355026242E-3</v>
      </c>
      <c r="R21">
        <v>4.7503403722330426E-3</v>
      </c>
      <c r="S21">
        <v>3.6608378658527082E-3</v>
      </c>
      <c r="T21">
        <v>4.8001300758723419E-3</v>
      </c>
      <c r="U21">
        <v>4.0363836739362655E-3</v>
      </c>
      <c r="V21">
        <v>8.3196305431813816E-3</v>
      </c>
      <c r="W21">
        <v>7.7933285874198885E-4</v>
      </c>
      <c r="X21" s="9">
        <v>1.1712575395878319E-2</v>
      </c>
      <c r="Y21">
        <v>1.260894830548202E-2</v>
      </c>
      <c r="Z21" s="9">
        <v>0.50292811037478524</v>
      </c>
      <c r="AA21">
        <v>0.50315219531368183</v>
      </c>
      <c r="AB21" s="9">
        <v>2.4472206830978395E-3</v>
      </c>
      <c r="AC21">
        <v>7.185713122424757E-2</v>
      </c>
      <c r="AD21">
        <v>6.4700581912956273E-2</v>
      </c>
      <c r="AE21" s="15">
        <v>0.51777761091623808</v>
      </c>
      <c r="AF21" s="15" t="b">
        <v>0</v>
      </c>
      <c r="AG21">
        <v>-0.13006682906230865</v>
      </c>
      <c r="AH21">
        <v>-4.7004813926229648E-3</v>
      </c>
      <c r="AI21">
        <v>-4.2342267469068114E-3</v>
      </c>
      <c r="AJ21">
        <v>-2.1132043743260127E-5</v>
      </c>
      <c r="AK21">
        <v>-2.1969113426886264E-5</v>
      </c>
      <c r="AL21">
        <v>-2.3507882110048438E-5</v>
      </c>
      <c r="AM21">
        <v>-9.6233874214371444E-6</v>
      </c>
      <c r="AN21">
        <v>-4.8833913175185911E-6</v>
      </c>
      <c r="AO21">
        <v>-2.1132043743260127E-5</v>
      </c>
      <c r="AP21">
        <v>-2.1969113426886264E-5</v>
      </c>
      <c r="AQ21">
        <v>-2.3507882110048438E-5</v>
      </c>
      <c r="AR21">
        <v>-4.2264087486520253E-4</v>
      </c>
      <c r="AS21">
        <v>-4.3938226853772525E-4</v>
      </c>
      <c r="AT21">
        <v>-4.7015764220096875E-4</v>
      </c>
      <c r="AU21">
        <v>-3.8037678737868231E-4</v>
      </c>
      <c r="AV21">
        <v>-3.9544404168395273E-4</v>
      </c>
      <c r="AW21">
        <v>-4.231418779808719E-4</v>
      </c>
      <c r="AX21">
        <v>-4.7004813926229648E-3</v>
      </c>
      <c r="AY21">
        <v>-4.2342267469068114E-3</v>
      </c>
      <c r="AZ21">
        <v>-2.6257350056509941E-3</v>
      </c>
      <c r="BA21">
        <v>-2.3652805877852649E-3</v>
      </c>
      <c r="BB21">
        <v>-2.6041687150831221E-3</v>
      </c>
      <c r="BC21">
        <v>-2.345853521336845E-3</v>
      </c>
      <c r="BD21">
        <v>-2.6057160798595102E-3</v>
      </c>
      <c r="BE21">
        <v>-2.3472473984264739E-3</v>
      </c>
      <c r="BF21">
        <v>-0.13006682906230865</v>
      </c>
      <c r="BG21">
        <v>-6.5414264562747085E-2</v>
      </c>
      <c r="BH21">
        <v>-6.5443410580189987E-2</v>
      </c>
    </row>
    <row r="22" spans="1:60" customFormat="1" x14ac:dyDescent="0.25">
      <c r="A22">
        <v>8.4014900300500885E-3</v>
      </c>
      <c r="B22">
        <v>3.9033350257017502E-3</v>
      </c>
      <c r="C22">
        <v>7.2837021273743155E-3</v>
      </c>
      <c r="D22">
        <v>1.8883324906786049E-3</v>
      </c>
      <c r="E22">
        <v>8.6941252814770002E-4</v>
      </c>
      <c r="F22">
        <v>5.075038151919049E-3</v>
      </c>
      <c r="G22">
        <v>8.7782513046188516E-4</v>
      </c>
      <c r="H22">
        <v>2.6636683575067071E-3</v>
      </c>
      <c r="I22">
        <v>6.2363437105699571E-3</v>
      </c>
      <c r="J22" s="9">
        <v>5.1567772856148324E-2</v>
      </c>
      <c r="K22">
        <v>3.281567154683028E-2</v>
      </c>
      <c r="L22">
        <v>0.13880487815995415</v>
      </c>
      <c r="M22" s="9">
        <v>0.51288908708111791</v>
      </c>
      <c r="N22">
        <v>0.5082031817543875</v>
      </c>
      <c r="O22">
        <v>0.53464561157164314</v>
      </c>
      <c r="P22" s="9">
        <v>2.1440553665161132E-3</v>
      </c>
      <c r="Q22">
        <v>6.487566828727722E-3</v>
      </c>
      <c r="R22">
        <v>6.4219563399448053E-3</v>
      </c>
      <c r="S22">
        <v>7.3473951353861884E-4</v>
      </c>
      <c r="T22">
        <v>9.0220046972964139E-4</v>
      </c>
      <c r="U22">
        <v>7.2352867033247045E-3</v>
      </c>
      <c r="V22">
        <v>7.8181438005700109E-3</v>
      </c>
      <c r="W22">
        <v>8.5507760824063677E-3</v>
      </c>
      <c r="X22" s="9">
        <v>5.8963078402821077E-3</v>
      </c>
      <c r="Y22">
        <v>1.5113037338594128E-2</v>
      </c>
      <c r="Z22" s="9">
        <v>0.50147407268938393</v>
      </c>
      <c r="AA22">
        <v>0.50377818742219449</v>
      </c>
      <c r="AB22" s="9">
        <v>5.6556463241577151E-4</v>
      </c>
      <c r="AC22">
        <v>6.9908788549243719E-2</v>
      </c>
      <c r="AD22">
        <v>7.2696208639407275E-2</v>
      </c>
      <c r="AE22" s="15">
        <v>0.51805359163630904</v>
      </c>
      <c r="AF22" s="15" t="b">
        <v>0</v>
      </c>
      <c r="AG22">
        <v>-0.1300238987851664</v>
      </c>
      <c r="AH22">
        <v>-4.5583056687185288E-3</v>
      </c>
      <c r="AI22">
        <v>-4.7618345882817293E-3</v>
      </c>
      <c r="AJ22">
        <v>-1.6808374500605839E-5</v>
      </c>
      <c r="AK22">
        <v>-1.95992338052462E-5</v>
      </c>
      <c r="AL22">
        <v>-4.0822796440746846E-5</v>
      </c>
      <c r="AM22">
        <v>-5.3750942385457824E-6</v>
      </c>
      <c r="AN22">
        <v>-1.2861826491535433E-6</v>
      </c>
      <c r="AO22">
        <v>-1.6808374500605839E-5</v>
      </c>
      <c r="AP22">
        <v>-1.95992338052462E-5</v>
      </c>
      <c r="AQ22">
        <v>-4.0822796440746846E-5</v>
      </c>
      <c r="AR22">
        <v>-3.5297586451272264E-4</v>
      </c>
      <c r="AS22">
        <v>-4.1158390991017019E-4</v>
      </c>
      <c r="AT22">
        <v>-8.572787252556838E-4</v>
      </c>
      <c r="AU22">
        <v>-6.7233498002423355E-5</v>
      </c>
      <c r="AV22">
        <v>-7.8396935220984801E-5</v>
      </c>
      <c r="AW22">
        <v>-1.6329118576298738E-4</v>
      </c>
      <c r="AX22">
        <v>-4.5583056687185288E-3</v>
      </c>
      <c r="AY22">
        <v>-4.7618345882817293E-3</v>
      </c>
      <c r="AZ22">
        <v>-2.3379052330657311E-3</v>
      </c>
      <c r="BA22">
        <v>-2.442292994815107E-3</v>
      </c>
      <c r="BB22">
        <v>-2.3165454442518173E-3</v>
      </c>
      <c r="BC22">
        <v>-2.4199794887528685E-3</v>
      </c>
      <c r="BD22">
        <v>-2.4370781219825058E-3</v>
      </c>
      <c r="BE22">
        <v>-2.5458939656548885E-3</v>
      </c>
      <c r="BF22">
        <v>-0.1300238987851664</v>
      </c>
      <c r="BG22">
        <v>-6.5203614070749635E-2</v>
      </c>
      <c r="BH22">
        <v>-6.5503204051558003E-2</v>
      </c>
    </row>
    <row r="23" spans="1:60" customFormat="1" x14ac:dyDescent="0.25">
      <c r="A23">
        <v>8.1023867814670608E-3</v>
      </c>
      <c r="B23">
        <v>6.6517963707084637E-3</v>
      </c>
      <c r="C23">
        <v>2.8879708285132395E-3</v>
      </c>
      <c r="D23">
        <v>5.4098210511467053E-3</v>
      </c>
      <c r="E23">
        <v>3.5371499656906094E-3</v>
      </c>
      <c r="F23">
        <v>3.9792675246793719E-3</v>
      </c>
      <c r="G23">
        <v>2.5703632500560878E-3</v>
      </c>
      <c r="H23">
        <v>3.922261804233545E-3</v>
      </c>
      <c r="I23">
        <v>7.8940433964131296E-3</v>
      </c>
      <c r="J23" s="9">
        <v>2.6633118633928733E-2</v>
      </c>
      <c r="K23">
        <v>2.5492881714790319E-2</v>
      </c>
      <c r="L23">
        <v>3.4528636067111373E-2</v>
      </c>
      <c r="M23" s="9">
        <v>0.50665788611381746</v>
      </c>
      <c r="N23">
        <v>0.50637287529502562</v>
      </c>
      <c r="O23">
        <v>0.50863130149480262</v>
      </c>
      <c r="P23" s="9">
        <v>3.8169956207275394E-3</v>
      </c>
      <c r="Q23">
        <v>5.7519137859344486E-4</v>
      </c>
      <c r="R23">
        <v>1.9270652515914173E-3</v>
      </c>
      <c r="S23">
        <v>6.6967428988191106E-3</v>
      </c>
      <c r="T23">
        <v>3.0033661470679944E-3</v>
      </c>
      <c r="U23">
        <v>9.078719056945175E-3</v>
      </c>
      <c r="V23">
        <v>5.2735771152317501E-3</v>
      </c>
      <c r="W23">
        <v>5.2776656204820077E-3</v>
      </c>
      <c r="X23" s="9">
        <v>6.3141815789568012E-3</v>
      </c>
      <c r="Y23">
        <v>1.1249751985818065E-2</v>
      </c>
      <c r="Z23" s="9">
        <v>0.50157854015018921</v>
      </c>
      <c r="AA23">
        <v>0.50281240833570573</v>
      </c>
      <c r="AB23" s="9">
        <v>3.80898118019104E-4</v>
      </c>
      <c r="AC23">
        <v>7.2815088347332704E-2</v>
      </c>
      <c r="AD23">
        <v>7.0962016434033423E-2</v>
      </c>
      <c r="AE23" s="15">
        <v>0.51813802900514527</v>
      </c>
      <c r="AF23" s="15" t="b">
        <v>0</v>
      </c>
      <c r="AG23">
        <v>-0.12993207686950564</v>
      </c>
      <c r="AH23">
        <v>-4.745442421277943E-3</v>
      </c>
      <c r="AI23">
        <v>-4.6360521730087027E-3</v>
      </c>
      <c r="AJ23">
        <v>-2.0363201940699461E-5</v>
      </c>
      <c r="AK23">
        <v>-2.8529916898604375E-5</v>
      </c>
      <c r="AL23">
        <v>-2.5173683777551346E-5</v>
      </c>
      <c r="AM23">
        <v>-6.2249739087831962E-7</v>
      </c>
      <c r="AN23">
        <v>-1.088894344316308E-6</v>
      </c>
      <c r="AO23">
        <v>-2.0363201940699461E-5</v>
      </c>
      <c r="AP23">
        <v>-2.8529916898604375E-5</v>
      </c>
      <c r="AQ23">
        <v>-2.5173683777551346E-5</v>
      </c>
      <c r="AR23">
        <v>-4.0726403881398922E-5</v>
      </c>
      <c r="AS23">
        <v>-5.7059833797208751E-5</v>
      </c>
      <c r="AT23">
        <v>-5.0347367555102691E-5</v>
      </c>
      <c r="AU23">
        <v>-6.108960582209839E-5</v>
      </c>
      <c r="AV23">
        <v>-8.5589750695813126E-5</v>
      </c>
      <c r="AW23">
        <v>-7.552105133265404E-5</v>
      </c>
      <c r="AX23">
        <v>-4.745442421277943E-3</v>
      </c>
      <c r="AY23">
        <v>-4.6360521730087027E-3</v>
      </c>
      <c r="AZ23">
        <v>-2.404315825839518E-3</v>
      </c>
      <c r="BA23">
        <v>-2.3488923938899593E-3</v>
      </c>
      <c r="BB23">
        <v>-2.4029633234095003E-3</v>
      </c>
      <c r="BC23">
        <v>-2.3475710688641684E-3</v>
      </c>
      <c r="BD23">
        <v>-2.4136805549032476E-3</v>
      </c>
      <c r="BE23">
        <v>-2.3580412505552245E-3</v>
      </c>
      <c r="BF23">
        <v>-0.12993207686950564</v>
      </c>
      <c r="BG23">
        <v>-6.5171141434888807E-2</v>
      </c>
      <c r="BH23">
        <v>-6.5331460490816173E-2</v>
      </c>
    </row>
    <row r="24" spans="1:60" customFormat="1" x14ac:dyDescent="0.25">
      <c r="A24">
        <v>3.7842157496687915E-3</v>
      </c>
      <c r="B24">
        <v>7.015099354723736E-3</v>
      </c>
      <c r="C24">
        <v>1.4202850193688729E-3</v>
      </c>
      <c r="D24">
        <v>5.289145718953725E-3</v>
      </c>
      <c r="E24">
        <v>4.3705360344222753E-3</v>
      </c>
      <c r="F24">
        <v>9.5007317311838931E-3</v>
      </c>
      <c r="G24">
        <v>3.8202423183373102E-3</v>
      </c>
      <c r="H24">
        <v>1.2854308638487963E-3</v>
      </c>
      <c r="I24">
        <v>9.6592053911911443E-3</v>
      </c>
      <c r="J24" s="9">
        <v>0.13778319714139403</v>
      </c>
      <c r="K24">
        <v>7.2829728362473048E-2</v>
      </c>
      <c r="L24">
        <v>0.30924706825742748</v>
      </c>
      <c r="M24" s="9">
        <v>0.5343914086836824</v>
      </c>
      <c r="N24">
        <v>0.51819938841518176</v>
      </c>
      <c r="O24">
        <v>0.57670146840351533</v>
      </c>
      <c r="P24" s="9">
        <v>3.61081600189209E-3</v>
      </c>
      <c r="Q24">
        <v>8.5814255475997921E-3</v>
      </c>
      <c r="R24">
        <v>4.8967723497794801E-4</v>
      </c>
      <c r="S24">
        <v>6.6830341633609515E-3</v>
      </c>
      <c r="T24">
        <v>8.174777404487835E-3</v>
      </c>
      <c r="U24">
        <v>1.1413029683409231E-3</v>
      </c>
      <c r="V24">
        <v>8.4561085912220352E-3</v>
      </c>
      <c r="W24">
        <v>5.7206415711001982E-4</v>
      </c>
      <c r="X24" s="9">
        <v>8.1086599607281297E-3</v>
      </c>
      <c r="Y24">
        <v>1.3074114328056489E-2</v>
      </c>
      <c r="Z24" s="9">
        <v>0.50202715388301833</v>
      </c>
      <c r="AA24">
        <v>0.50326848202467256</v>
      </c>
      <c r="AB24" s="9">
        <v>7.7051508426666257E-3</v>
      </c>
      <c r="AC24">
        <v>6.4952716225886234E-2</v>
      </c>
      <c r="AD24">
        <v>6.6332896551143494E-2</v>
      </c>
      <c r="AE24" s="15">
        <v>0.5184157743950103</v>
      </c>
      <c r="AF24" s="15" t="b">
        <v>0</v>
      </c>
      <c r="AG24">
        <v>-0.13011353192643083</v>
      </c>
      <c r="AH24">
        <v>-4.2427455964532653E-3</v>
      </c>
      <c r="AI24">
        <v>-4.3436133656090488E-3</v>
      </c>
      <c r="AJ24">
        <v>-1.6622828561494769E-5</v>
      </c>
      <c r="AK24">
        <v>-2.0541879597280641E-5</v>
      </c>
      <c r="AL24">
        <v>-2.2123388863148907E-5</v>
      </c>
      <c r="AM24">
        <v>-3.1031037607283976E-6</v>
      </c>
      <c r="AN24">
        <v>-7.2864661472458773E-6</v>
      </c>
      <c r="AO24">
        <v>-1.6622828561494769E-5</v>
      </c>
      <c r="AP24">
        <v>-2.0541879597280641E-5</v>
      </c>
      <c r="AQ24">
        <v>-2.2123388863148907E-5</v>
      </c>
      <c r="AR24">
        <v>-1.3298262849195815E-4</v>
      </c>
      <c r="AS24">
        <v>-1.6433503677824513E-4</v>
      </c>
      <c r="AT24">
        <v>-1.7698711090519126E-4</v>
      </c>
      <c r="AU24">
        <v>-3.9894788547587445E-4</v>
      </c>
      <c r="AV24">
        <v>-4.9300511033473541E-4</v>
      </c>
      <c r="AW24">
        <v>-5.3096133271557377E-4</v>
      </c>
      <c r="AX24">
        <v>-4.2427455964532653E-3</v>
      </c>
      <c r="AY24">
        <v>-4.3436133656090488E-3</v>
      </c>
      <c r="AZ24">
        <v>-2.2672867959751507E-3</v>
      </c>
      <c r="BA24">
        <v>-2.3211896652250903E-3</v>
      </c>
      <c r="BB24">
        <v>-2.1985881732832875E-3</v>
      </c>
      <c r="BC24">
        <v>-2.2508577895706183E-3</v>
      </c>
      <c r="BD24">
        <v>-2.4467976155371465E-3</v>
      </c>
      <c r="BE24">
        <v>-2.5049682061238738E-3</v>
      </c>
      <c r="BF24">
        <v>-0.13011353192643083</v>
      </c>
      <c r="BG24">
        <v>-6.53205261146933E-2</v>
      </c>
      <c r="BH24">
        <v>-6.548203970348361E-2</v>
      </c>
    </row>
    <row r="25" spans="1:60" customFormat="1" x14ac:dyDescent="0.25">
      <c r="A25">
        <v>6.3623885681146023E-3</v>
      </c>
      <c r="B25">
        <v>7.563642379651579E-3</v>
      </c>
      <c r="C25">
        <v>9.2985185226445097E-3</v>
      </c>
      <c r="D25">
        <v>9.9680382081915944E-3</v>
      </c>
      <c r="E25">
        <v>4.7392077119263387E-3</v>
      </c>
      <c r="F25">
        <v>7.0889449762395751E-3</v>
      </c>
      <c r="G25">
        <v>9.5537665813389162E-3</v>
      </c>
      <c r="H25">
        <v>5.3759513826082276E-3</v>
      </c>
      <c r="I25">
        <v>2.5879945522350395E-3</v>
      </c>
      <c r="J25" s="9">
        <v>0.2019947080902724</v>
      </c>
      <c r="K25">
        <v>0.10807848965431535</v>
      </c>
      <c r="L25">
        <v>0.1105688642313952</v>
      </c>
      <c r="M25" s="9">
        <v>0.55032767138553984</v>
      </c>
      <c r="N25">
        <v>0.52699335183915252</v>
      </c>
      <c r="O25">
        <v>0.52761408884532657</v>
      </c>
      <c r="P25" s="9">
        <v>5.7491493225097657E-3</v>
      </c>
      <c r="Q25">
        <v>2.835370898246765E-3</v>
      </c>
      <c r="R25">
        <v>8.8113824570528972E-4</v>
      </c>
      <c r="S25">
        <v>1.8664865657086187E-3</v>
      </c>
      <c r="T25">
        <v>9.2863642972799299E-3</v>
      </c>
      <c r="U25">
        <v>2.3090384420071698E-3</v>
      </c>
      <c r="V25">
        <v>7.1262099705835247E-3</v>
      </c>
      <c r="W25">
        <v>2.4976389789459061E-3</v>
      </c>
      <c r="X25" s="9">
        <v>1.1127916328860484E-2</v>
      </c>
      <c r="Y25">
        <v>6.3971875258455107E-3</v>
      </c>
      <c r="Z25" s="9">
        <v>0.50278195037474382</v>
      </c>
      <c r="AA25">
        <v>0.50159929142734716</v>
      </c>
      <c r="AB25" s="9">
        <v>4.9423927068710325E-3</v>
      </c>
      <c r="AC25">
        <v>6.945007324342406E-2</v>
      </c>
      <c r="AD25">
        <v>6.8512489849455224E-2</v>
      </c>
      <c r="AE25" s="15">
        <v>0.51854809787115563</v>
      </c>
      <c r="AF25" s="15" t="b">
        <v>0</v>
      </c>
      <c r="AG25">
        <v>-0.13002581691231724</v>
      </c>
      <c r="AH25">
        <v>-4.5402731074946894E-3</v>
      </c>
      <c r="AI25">
        <v>-4.4684433463810453E-3</v>
      </c>
      <c r="AJ25">
        <v>-6.7915375252027964E-6</v>
      </c>
      <c r="AK25">
        <v>-2.7656841689439497E-5</v>
      </c>
      <c r="AL25">
        <v>-2.2959389703896328E-5</v>
      </c>
      <c r="AM25">
        <v>-3.9768044059113536E-6</v>
      </c>
      <c r="AN25">
        <v>-2.4568683843549219E-6</v>
      </c>
      <c r="AO25">
        <v>-6.7915375252027964E-6</v>
      </c>
      <c r="AP25">
        <v>-2.7656841689439497E-5</v>
      </c>
      <c r="AQ25">
        <v>-2.2959389703896328E-5</v>
      </c>
      <c r="AR25">
        <v>-7.4706912777230765E-5</v>
      </c>
      <c r="AS25">
        <v>-3.0422525858383445E-4</v>
      </c>
      <c r="AT25">
        <v>-2.5255328674285963E-4</v>
      </c>
      <c r="AU25">
        <v>-6.1123837726825169E-5</v>
      </c>
      <c r="AV25">
        <v>-2.4891157520495549E-4</v>
      </c>
      <c r="AW25">
        <v>-2.0663450733506694E-4</v>
      </c>
      <c r="AX25">
        <v>-4.5402731074946894E-3</v>
      </c>
      <c r="AY25">
        <v>-4.4684433463810453E-3</v>
      </c>
      <c r="AZ25">
        <v>-2.498637926701941E-3</v>
      </c>
      <c r="BA25">
        <v>-2.4591080215320897E-3</v>
      </c>
      <c r="BB25">
        <v>-2.3926937431837914E-3</v>
      </c>
      <c r="BC25">
        <v>-2.3548399366127063E-3</v>
      </c>
      <c r="BD25">
        <v>-2.3955120587197498E-3</v>
      </c>
      <c r="BE25">
        <v>-2.3576136647577971E-3</v>
      </c>
      <c r="BF25">
        <v>-0.13002581691231724</v>
      </c>
      <c r="BG25">
        <v>-6.5374633826244213E-2</v>
      </c>
      <c r="BH25">
        <v>-6.52208576304803E-2</v>
      </c>
    </row>
    <row r="26" spans="1:60" customFormat="1" x14ac:dyDescent="0.25">
      <c r="A26">
        <v>3.8953063920602123E-3</v>
      </c>
      <c r="B26">
        <v>4.0397321991600833E-4</v>
      </c>
      <c r="C26">
        <v>1.3422896475232299E-3</v>
      </c>
      <c r="D26">
        <v>1.5370786929888823E-3</v>
      </c>
      <c r="E26">
        <v>8.9610693063541559E-3</v>
      </c>
      <c r="F26">
        <v>2.3284244759251456E-3</v>
      </c>
      <c r="G26">
        <v>7.2296578748968811E-3</v>
      </c>
      <c r="H26">
        <v>1.8793665803904056E-3</v>
      </c>
      <c r="I26">
        <v>6.9262761194606309E-3</v>
      </c>
      <c r="J26" s="9">
        <v>0.25306369519173316</v>
      </c>
      <c r="K26">
        <v>0.24496742606506544</v>
      </c>
      <c r="L26">
        <v>0.25802748722577024</v>
      </c>
      <c r="M26" s="9">
        <v>0.56293043648480867</v>
      </c>
      <c r="N26">
        <v>0.5609374278159841</v>
      </c>
      <c r="O26">
        <v>0.56415134280061752</v>
      </c>
      <c r="P26" s="9">
        <v>1.4868783950805664E-3</v>
      </c>
      <c r="Q26">
        <v>4.5723789930343633E-3</v>
      </c>
      <c r="R26">
        <v>3.7922071803230379E-3</v>
      </c>
      <c r="S26">
        <v>3.6792150998705177E-3</v>
      </c>
      <c r="T26">
        <v>7.4022701442341314E-3</v>
      </c>
      <c r="U26">
        <v>2.9499613955665787E-3</v>
      </c>
      <c r="V26">
        <v>5.527740316690696E-3</v>
      </c>
      <c r="W26">
        <v>2.0117989544819414E-3</v>
      </c>
      <c r="X26" s="9">
        <v>7.7738376130463867E-3</v>
      </c>
      <c r="Y26">
        <v>9.4332239941274064E-3</v>
      </c>
      <c r="Z26" s="9">
        <v>0.50194344961596993</v>
      </c>
      <c r="AA26">
        <v>0.50235828851072539</v>
      </c>
      <c r="AB26" s="9">
        <v>5.3760957717895507E-3</v>
      </c>
      <c r="AC26">
        <v>6.8479037478249086E-2</v>
      </c>
      <c r="AD26">
        <v>7.1619668216105659E-2</v>
      </c>
      <c r="AE26" s="15">
        <v>0.51892281640049742</v>
      </c>
      <c r="AF26" s="15" t="b">
        <v>0</v>
      </c>
      <c r="AG26">
        <v>-0.13010216006102773</v>
      </c>
      <c r="AH26">
        <v>-4.4719500661205601E-3</v>
      </c>
      <c r="AI26">
        <v>-4.6809110029932535E-3</v>
      </c>
      <c r="AJ26">
        <v>-1.9241322366065524E-5</v>
      </c>
      <c r="AK26">
        <v>-2.6314185720792341E-5</v>
      </c>
      <c r="AL26">
        <v>-1.9258338786161445E-5</v>
      </c>
      <c r="AM26">
        <v>-6.5146253762826956E-6</v>
      </c>
      <c r="AN26">
        <v>-9.658522531085134E-6</v>
      </c>
      <c r="AO26">
        <v>-1.9241322366065524E-5</v>
      </c>
      <c r="AP26">
        <v>-2.6314185720792341E-5</v>
      </c>
      <c r="AQ26">
        <v>-1.9258338786161445E-5</v>
      </c>
      <c r="AR26">
        <v>-4.0406776968737599E-4</v>
      </c>
      <c r="AS26">
        <v>-5.5259790013663921E-4</v>
      </c>
      <c r="AT26">
        <v>-4.0442511450939034E-4</v>
      </c>
      <c r="AU26">
        <v>-5.7723967098196574E-4</v>
      </c>
      <c r="AV26">
        <v>-7.8942557162377019E-4</v>
      </c>
      <c r="AW26">
        <v>-5.777501635848434E-4</v>
      </c>
      <c r="AX26">
        <v>-4.4719500661205601E-3</v>
      </c>
      <c r="AY26">
        <v>-4.6809110029932535E-3</v>
      </c>
      <c r="AZ26">
        <v>-2.517396802659516E-3</v>
      </c>
      <c r="BA26">
        <v>-2.6350272740615359E-3</v>
      </c>
      <c r="BB26">
        <v>-2.508484167411187E-3</v>
      </c>
      <c r="BC26">
        <v>-2.625698177854574E-3</v>
      </c>
      <c r="BD26">
        <v>-2.5228566347392243E-3</v>
      </c>
      <c r="BE26">
        <v>-2.6407422278688295E-3</v>
      </c>
      <c r="BF26">
        <v>-0.13010216006102773</v>
      </c>
      <c r="BG26">
        <v>-6.5303927023521335E-2</v>
      </c>
      <c r="BH26">
        <v>-6.5357898459806343E-2</v>
      </c>
    </row>
    <row r="27" spans="1:60" customFormat="1" x14ac:dyDescent="0.25">
      <c r="A27">
        <v>4.1875388129885291E-3</v>
      </c>
      <c r="B27">
        <v>6.7277837922845203E-3</v>
      </c>
      <c r="C27">
        <v>1.9787631501039116E-4</v>
      </c>
      <c r="D27">
        <v>3.4805067466403875E-3</v>
      </c>
      <c r="E27">
        <v>2.4763976150232727E-3</v>
      </c>
      <c r="F27">
        <v>1.667456839338988E-3</v>
      </c>
      <c r="G27">
        <v>9.8291983112032515E-3</v>
      </c>
      <c r="H27">
        <v>4.420725219515355E-3</v>
      </c>
      <c r="I27">
        <v>2.0152922676928866E-3</v>
      </c>
      <c r="J27" s="9">
        <v>8.3626872056999535E-2</v>
      </c>
      <c r="K27">
        <v>6.0676461312265333E-2</v>
      </c>
      <c r="L27">
        <v>3.5562305369483037E-2</v>
      </c>
      <c r="M27" s="9">
        <v>0.52089454234875099</v>
      </c>
      <c r="N27">
        <v>0.51516446311458919</v>
      </c>
      <c r="O27">
        <v>0.50888963948481747</v>
      </c>
      <c r="P27" s="9">
        <v>4.1101360321044922E-3</v>
      </c>
      <c r="Q27">
        <v>8.934051394462586E-3</v>
      </c>
      <c r="R27">
        <v>9.151425472342007E-3</v>
      </c>
      <c r="S27">
        <v>8.1632207943248061E-3</v>
      </c>
      <c r="T27">
        <v>9.0257652678445571E-3</v>
      </c>
      <c r="U27">
        <v>9.2946329719912225E-3</v>
      </c>
      <c r="V27">
        <v>9.566052172033053E-3</v>
      </c>
      <c r="W27">
        <v>7.0696554049365324E-3</v>
      </c>
      <c r="X27" s="9">
        <v>1.3526817133766231E-2</v>
      </c>
      <c r="Y27">
        <v>2.1572167549377276E-2</v>
      </c>
      <c r="Z27" s="9">
        <v>0.50338165272050139</v>
      </c>
      <c r="AA27">
        <v>0.5053928327556253</v>
      </c>
      <c r="AB27" s="9">
        <v>9.1318112611770627E-3</v>
      </c>
      <c r="AC27">
        <v>7.3677601348469596E-2</v>
      </c>
      <c r="AD27">
        <v>6.7613214404727284E-2</v>
      </c>
      <c r="AE27" s="15">
        <v>0.52008693264811068</v>
      </c>
      <c r="AF27" s="15" t="b">
        <v>0</v>
      </c>
      <c r="AG27">
        <v>-0.13095091846511064</v>
      </c>
      <c r="AH27">
        <v>-4.8567014746748564E-3</v>
      </c>
      <c r="AI27">
        <v>-4.4747544721113267E-3</v>
      </c>
      <c r="AJ27">
        <v>-4.21789929850676E-5</v>
      </c>
      <c r="AK27">
        <v>-4.4008773223987215E-5</v>
      </c>
      <c r="AL27">
        <v>-3.9741447259870271E-5</v>
      </c>
      <c r="AM27">
        <v>-6.441092774834155E-6</v>
      </c>
      <c r="AN27">
        <v>-6.8922701165803379E-7</v>
      </c>
      <c r="AO27">
        <v>-4.21789929850676E-5</v>
      </c>
      <c r="AP27">
        <v>-4.4008773223987215E-5</v>
      </c>
      <c r="AQ27">
        <v>-3.9741447259870271E-5</v>
      </c>
      <c r="AR27">
        <v>-8.43579859701352E-4</v>
      </c>
      <c r="AS27">
        <v>-8.8017546447974435E-4</v>
      </c>
      <c r="AT27">
        <v>-7.948289451974054E-4</v>
      </c>
      <c r="AU27">
        <v>-4.21789929850676E-5</v>
      </c>
      <c r="AV27">
        <v>-4.4008773223987215E-5</v>
      </c>
      <c r="AW27">
        <v>-3.9741447259870271E-5</v>
      </c>
      <c r="AX27">
        <v>-4.8567014746748564E-3</v>
      </c>
      <c r="AY27">
        <v>-4.4747544721113267E-3</v>
      </c>
      <c r="AZ27">
        <v>-2.5298292919752633E-3</v>
      </c>
      <c r="BA27">
        <v>-2.3308751828734564E-3</v>
      </c>
      <c r="BB27">
        <v>-2.502000007708706E-3</v>
      </c>
      <c r="BC27">
        <v>-2.3052344851948385E-3</v>
      </c>
      <c r="BD27">
        <v>-2.4715250625326692E-3</v>
      </c>
      <c r="BE27">
        <v>-2.2771561900958078E-3</v>
      </c>
      <c r="BF27">
        <v>-0.13095091846511064</v>
      </c>
      <c r="BG27">
        <v>-6.5918289762235016E-2</v>
      </c>
      <c r="BH27">
        <v>-6.6181655635033185E-2</v>
      </c>
    </row>
    <row r="28" spans="1:60" customFormat="1" x14ac:dyDescent="0.25">
      <c r="A28">
        <v>6.9962357260165637E-3</v>
      </c>
      <c r="B28">
        <v>3.1195307087543618E-3</v>
      </c>
      <c r="C28">
        <v>8.411704121789744E-3</v>
      </c>
      <c r="D28">
        <v>9.2450045865119306E-4</v>
      </c>
      <c r="E28">
        <v>1.1250326384395636E-4</v>
      </c>
      <c r="F28">
        <v>6.8146992288869905E-3</v>
      </c>
      <c r="G28">
        <v>8.1119068167433226E-4</v>
      </c>
      <c r="H28">
        <v>6.1073058765348971E-3</v>
      </c>
      <c r="I28">
        <v>7.1237579630492663E-4</v>
      </c>
      <c r="J28" s="9">
        <v>2.5182360053782459E-2</v>
      </c>
      <c r="K28">
        <v>0.11949585215444927</v>
      </c>
      <c r="L28">
        <v>4.2390941938244324E-2</v>
      </c>
      <c r="M28" s="9">
        <v>0.5062952573381817</v>
      </c>
      <c r="N28">
        <v>0.52983846555501857</v>
      </c>
      <c r="O28">
        <v>0.51059614876590564</v>
      </c>
      <c r="P28" s="9">
        <v>3.9363050460815433E-3</v>
      </c>
      <c r="Q28">
        <v>9.968239665031433E-3</v>
      </c>
      <c r="R28">
        <v>9.4446694026795782E-3</v>
      </c>
      <c r="S28">
        <v>1.5703251073781747E-3</v>
      </c>
      <c r="T28">
        <v>9.5236727512664123E-3</v>
      </c>
      <c r="U28">
        <v>9.0561921542140732E-3</v>
      </c>
      <c r="V28">
        <v>2.7705463859516372E-4</v>
      </c>
      <c r="W28">
        <v>8.3997860681422412E-3</v>
      </c>
      <c r="X28" s="9">
        <v>1.3764104528764389E-2</v>
      </c>
      <c r="Y28">
        <v>1.9850505190987196E-2</v>
      </c>
      <c r="Z28" s="9">
        <v>0.50344097180785574</v>
      </c>
      <c r="AA28">
        <v>0.50496246334700501</v>
      </c>
      <c r="AB28" s="9">
        <v>5.7786405086517334E-3</v>
      </c>
      <c r="AC28">
        <v>7.17347902455929E-2</v>
      </c>
      <c r="AD28">
        <v>6.387725840824289E-2</v>
      </c>
      <c r="AE28" s="15">
        <v>0.51852863427222118</v>
      </c>
      <c r="AF28" s="15" t="b">
        <v>0</v>
      </c>
      <c r="AG28">
        <v>-0.13054200184408429</v>
      </c>
      <c r="AH28">
        <v>-4.714424207397718E-3</v>
      </c>
      <c r="AI28">
        <v>-4.2107129128050773E-3</v>
      </c>
      <c r="AJ28">
        <v>-2.5891112310422809E-5</v>
      </c>
      <c r="AK28">
        <v>-4.3993366588554851E-5</v>
      </c>
      <c r="AL28">
        <v>-1.8726236685531224E-5</v>
      </c>
      <c r="AM28">
        <v>-4.6949823970654934E-7</v>
      </c>
      <c r="AN28">
        <v>-5.757450169087786E-6</v>
      </c>
      <c r="AO28">
        <v>-2.5891112310422809E-5</v>
      </c>
      <c r="AP28">
        <v>-4.3993366588554851E-5</v>
      </c>
      <c r="AQ28">
        <v>-1.8726236685531224E-5</v>
      </c>
      <c r="AR28">
        <v>-7.7673336931268421E-5</v>
      </c>
      <c r="AS28">
        <v>-1.3198009976566455E-4</v>
      </c>
      <c r="AT28">
        <v>-5.6178710056593672E-5</v>
      </c>
      <c r="AU28">
        <v>-4.9193113389803343E-4</v>
      </c>
      <c r="AV28">
        <v>-8.3587396518254218E-4</v>
      </c>
      <c r="AW28">
        <v>-3.5579849702509323E-4</v>
      </c>
      <c r="AX28">
        <v>-4.714424207397718E-3</v>
      </c>
      <c r="AY28">
        <v>-4.2107129128050773E-3</v>
      </c>
      <c r="AZ28">
        <v>-2.3868906172857811E-3</v>
      </c>
      <c r="BA28">
        <v>-2.1318639777658513E-3</v>
      </c>
      <c r="BB28">
        <v>-2.4978832880230414E-3</v>
      </c>
      <c r="BC28">
        <v>-2.230997668613345E-3</v>
      </c>
      <c r="BD28">
        <v>-2.4071668439460321E-3</v>
      </c>
      <c r="BE28">
        <v>-2.1499737968371413E-3</v>
      </c>
      <c r="BF28">
        <v>-0.13054200184408429</v>
      </c>
      <c r="BG28">
        <v>-6.5720192270128694E-2</v>
      </c>
      <c r="BH28">
        <v>-6.5918810821438079E-2</v>
      </c>
    </row>
    <row r="29" spans="1:60" customFormat="1" x14ac:dyDescent="0.25">
      <c r="A29">
        <v>9.6584720178517422E-3</v>
      </c>
      <c r="B29">
        <v>8.6268017080609171E-4</v>
      </c>
      <c r="C29">
        <v>2.341319391385445E-3</v>
      </c>
      <c r="D29">
        <v>4.53270438688449E-3</v>
      </c>
      <c r="E29">
        <v>2.5919531314812123E-3</v>
      </c>
      <c r="F29">
        <v>1.6537295402462211E-3</v>
      </c>
      <c r="G29">
        <v>4.2081914166970632E-3</v>
      </c>
      <c r="H29">
        <v>9.0263794554861481E-3</v>
      </c>
      <c r="I29">
        <v>1.2366298300809111E-3</v>
      </c>
      <c r="J29" s="9">
        <v>0.13948433438656482</v>
      </c>
      <c r="K29">
        <v>0.10820145260378594</v>
      </c>
      <c r="L29">
        <v>4.8213977507699311E-2</v>
      </c>
      <c r="M29" s="9">
        <v>0.53481465607864331</v>
      </c>
      <c r="N29">
        <v>0.52702400287889339</v>
      </c>
      <c r="O29">
        <v>0.51205115996925243</v>
      </c>
      <c r="P29" s="9">
        <v>3.3140182495117188E-3</v>
      </c>
      <c r="Q29">
        <v>5.6290453672409061E-3</v>
      </c>
      <c r="R29">
        <v>5.98055720661359E-3</v>
      </c>
      <c r="S29">
        <v>5.6990071380791461E-3</v>
      </c>
      <c r="T29">
        <v>9.2583343509765863E-3</v>
      </c>
      <c r="U29">
        <v>6.7046265979832619E-3</v>
      </c>
      <c r="V29">
        <v>9.948937985777468E-3</v>
      </c>
      <c r="W29">
        <v>4.7330159343893377E-3</v>
      </c>
      <c r="X29" s="9">
        <v>1.1391872324768258E-2</v>
      </c>
      <c r="Y29">
        <v>1.4634003356616888E-2</v>
      </c>
      <c r="Z29" s="9">
        <v>0.50284793728206179</v>
      </c>
      <c r="AA29">
        <v>0.50365843555032019</v>
      </c>
      <c r="AB29" s="9">
        <v>7.0582693815231324E-3</v>
      </c>
      <c r="AC29">
        <v>6.8148554746876144E-2</v>
      </c>
      <c r="AD29">
        <v>6.3781068153880682E-2</v>
      </c>
      <c r="AE29" s="15">
        <v>0.51835437459938227</v>
      </c>
      <c r="AF29" s="15" t="b">
        <v>0</v>
      </c>
      <c r="AG29">
        <v>-0.13025598436935235</v>
      </c>
      <c r="AH29">
        <v>-4.4636589883888843E-3</v>
      </c>
      <c r="AI29">
        <v>-4.184326699906659E-3</v>
      </c>
      <c r="AJ29">
        <v>-2.7030428886649289E-5</v>
      </c>
      <c r="AK29">
        <v>-3.6565133720887526E-5</v>
      </c>
      <c r="AL29">
        <v>-3.2880418665021702E-5</v>
      </c>
      <c r="AM29">
        <v>-6.5201130260826663E-6</v>
      </c>
      <c r="AN29">
        <v>-2.4223044859123792E-6</v>
      </c>
      <c r="AO29">
        <v>-2.7030428886649289E-5</v>
      </c>
      <c r="AP29">
        <v>-3.6565133720887526E-5</v>
      </c>
      <c r="AQ29">
        <v>-3.2880418665021702E-5</v>
      </c>
      <c r="AR29">
        <v>-6.4873029327958294E-4</v>
      </c>
      <c r="AS29">
        <v>-8.7756320930130062E-4</v>
      </c>
      <c r="AT29">
        <v>-7.8913004796052084E-4</v>
      </c>
      <c r="AU29">
        <v>-1.3515214443324643E-4</v>
      </c>
      <c r="AV29">
        <v>-1.8282566860443761E-4</v>
      </c>
      <c r="AW29">
        <v>-1.6440209332510851E-4</v>
      </c>
      <c r="AX29">
        <v>-4.4636589883888843E-3</v>
      </c>
      <c r="AY29">
        <v>-4.184326699906659E-3</v>
      </c>
      <c r="AZ29">
        <v>-2.3872302467275461E-3</v>
      </c>
      <c r="BA29">
        <v>-2.2378392449312642E-3</v>
      </c>
      <c r="BB29">
        <v>-2.3524554275470618E-3</v>
      </c>
      <c r="BC29">
        <v>-2.2052406067378377E-3</v>
      </c>
      <c r="BD29">
        <v>-2.2856217627117083E-3</v>
      </c>
      <c r="BE29">
        <v>-2.142589340377519E-3</v>
      </c>
      <c r="BF29">
        <v>-0.13025598436935235</v>
      </c>
      <c r="BG29">
        <v>-6.5498953058773304E-2</v>
      </c>
      <c r="BH29">
        <v>-6.5604525308534958E-2</v>
      </c>
    </row>
    <row r="30" spans="1:60" customFormat="1" x14ac:dyDescent="0.25">
      <c r="A30">
        <v>1.5030830684357181E-3</v>
      </c>
      <c r="B30">
        <v>9.3465379159089392E-3</v>
      </c>
      <c r="C30">
        <v>1.7007415071797821E-3</v>
      </c>
      <c r="D30">
        <v>1.3689913345653899E-3</v>
      </c>
      <c r="E30">
        <v>9.0930009613906671E-3</v>
      </c>
      <c r="F30">
        <v>5.233493031674509E-3</v>
      </c>
      <c r="G30">
        <v>8.230262166367562E-4</v>
      </c>
      <c r="H30">
        <v>6.2747890314333588E-3</v>
      </c>
      <c r="I30">
        <v>9.5597059870664277E-6</v>
      </c>
      <c r="J30" s="9">
        <v>3.6004927531278583E-2</v>
      </c>
      <c r="K30">
        <v>0.24012813905215169</v>
      </c>
      <c r="L30">
        <v>0.12732369367934213</v>
      </c>
      <c r="M30" s="9">
        <v>0.50900025960967588</v>
      </c>
      <c r="N30">
        <v>0.55974522688059747</v>
      </c>
      <c r="O30">
        <v>0.5317879912355713</v>
      </c>
      <c r="P30" s="9">
        <v>1.6231584548950196E-3</v>
      </c>
      <c r="Q30">
        <v>2.7768200635910033E-3</v>
      </c>
      <c r="R30">
        <v>3.2310592134415389E-3</v>
      </c>
      <c r="S30">
        <v>2.3892871739219362E-3</v>
      </c>
      <c r="T30">
        <v>8.1068224024477675E-3</v>
      </c>
      <c r="U30">
        <v>8.045962342394632E-3</v>
      </c>
      <c r="V30">
        <v>6.6068367344430372E-3</v>
      </c>
      <c r="W30">
        <v>7.3728012609585109E-3</v>
      </c>
      <c r="X30" s="9">
        <v>7.8055235782898344E-3</v>
      </c>
      <c r="Y30">
        <v>1.2417424044559977E-2</v>
      </c>
      <c r="Z30" s="9">
        <v>0.50195137098711451</v>
      </c>
      <c r="AA30">
        <v>0.5031043161227412</v>
      </c>
      <c r="AB30" s="9">
        <v>3.0447888374328614E-3</v>
      </c>
      <c r="AC30">
        <v>6.5543840936109071E-2</v>
      </c>
      <c r="AD30">
        <v>-6.218361257834544E-2</v>
      </c>
      <c r="AE30" s="15">
        <v>0.50116493933580064</v>
      </c>
      <c r="AF30" s="15" t="b">
        <v>0</v>
      </c>
      <c r="AG30">
        <v>-0.12592398455364207</v>
      </c>
      <c r="AH30">
        <v>-4.1428765284582557E-3</v>
      </c>
      <c r="AI30">
        <v>3.9395121975422187E-3</v>
      </c>
      <c r="AJ30">
        <v>-2.0223870183705418E-6</v>
      </c>
      <c r="AK30">
        <v>-1.0570214661725592E-6</v>
      </c>
      <c r="AL30">
        <v>8.9017675659666052E-7</v>
      </c>
      <c r="AM30">
        <v>-1.8531344781113338E-7</v>
      </c>
      <c r="AN30">
        <v>-1.6577108820328789E-8</v>
      </c>
      <c r="AO30">
        <v>-2.0223870183705418E-6</v>
      </c>
      <c r="AP30">
        <v>-1.0570214661725592E-6</v>
      </c>
      <c r="AQ30">
        <v>8.9017675659666052E-7</v>
      </c>
      <c r="AR30">
        <v>-4.8537288440893003E-5</v>
      </c>
      <c r="AS30">
        <v>-2.5368515188141421E-5</v>
      </c>
      <c r="AT30">
        <v>2.1364242158319853E-5</v>
      </c>
      <c r="AU30">
        <v>-4.0447740367410836E-6</v>
      </c>
      <c r="AV30">
        <v>-2.1140429323451184E-6</v>
      </c>
      <c r="AW30">
        <v>1.780353513193321E-6</v>
      </c>
      <c r="AX30">
        <v>-4.1428765284582557E-3</v>
      </c>
      <c r="AY30">
        <v>3.9395121975422187E-3</v>
      </c>
      <c r="AZ30">
        <v>-2.1087252285160851E-3</v>
      </c>
      <c r="BA30">
        <v>2.0052127312844741E-3</v>
      </c>
      <c r="BB30">
        <v>-2.3189553623601685E-3</v>
      </c>
      <c r="BC30">
        <v>2.2051231488121503E-3</v>
      </c>
      <c r="BD30">
        <v>-2.2031319870058131E-3</v>
      </c>
      <c r="BE30">
        <v>2.0949852779790076E-3</v>
      </c>
      <c r="BF30">
        <v>-0.12592398455364207</v>
      </c>
      <c r="BG30">
        <v>-6.3207716686860871E-2</v>
      </c>
      <c r="BH30">
        <v>-6.3352900132310722E-2</v>
      </c>
    </row>
    <row r="31" spans="1:60" customFormat="1" x14ac:dyDescent="0.25">
      <c r="A31">
        <v>7.915239154488227E-3</v>
      </c>
      <c r="B31">
        <v>8.7279079068645748E-3</v>
      </c>
      <c r="C31">
        <v>7.0590751540780773E-3</v>
      </c>
      <c r="D31">
        <v>6.5926037672924672E-3</v>
      </c>
      <c r="E31">
        <v>3.5711724751766485E-3</v>
      </c>
      <c r="F31">
        <v>7.5453847222835988E-3</v>
      </c>
      <c r="G31">
        <v>5.2230040673184076E-3</v>
      </c>
      <c r="H31">
        <v>9.9462069266613284E-3</v>
      </c>
      <c r="I31">
        <v>2.2465753131420585E-3</v>
      </c>
      <c r="J31" s="9">
        <v>0.52780198387736665</v>
      </c>
      <c r="K31">
        <v>0.60349260158773554</v>
      </c>
      <c r="L31">
        <v>0.43790531671280697</v>
      </c>
      <c r="M31" s="9">
        <v>0.62897031386417579</v>
      </c>
      <c r="N31">
        <v>0.64645495132912811</v>
      </c>
      <c r="O31">
        <v>0.60775979662202373</v>
      </c>
      <c r="P31" s="9">
        <v>2.7485847473144529E-4</v>
      </c>
      <c r="Q31">
        <v>2.1781653165817262E-3</v>
      </c>
      <c r="R31">
        <v>3.72612592993684E-3</v>
      </c>
      <c r="S31">
        <v>8.3662892576878527E-3</v>
      </c>
      <c r="T31">
        <v>1.5517150571832926E-4</v>
      </c>
      <c r="U31">
        <v>4.9896924087639363E-3</v>
      </c>
      <c r="V31">
        <v>8.769063074256225E-3</v>
      </c>
      <c r="W31">
        <v>4.9947490909166533E-3</v>
      </c>
      <c r="X31" s="9">
        <v>2.7187924585580737E-3</v>
      </c>
      <c r="Y31">
        <v>1.3701531951796492E-2</v>
      </c>
      <c r="Z31" s="9">
        <v>0.50067969769595522</v>
      </c>
      <c r="AA31">
        <v>0.50342532940112816</v>
      </c>
      <c r="AB31" s="9">
        <v>4.8289895057678227E-5</v>
      </c>
      <c r="AC31">
        <v>-5.8827029654545171E-2</v>
      </c>
      <c r="AD31">
        <v>-6.0366468704753387E-2</v>
      </c>
      <c r="AE31" s="15">
        <v>0.48505564775906795</v>
      </c>
      <c r="AF31" s="15" t="b">
        <v>0</v>
      </c>
      <c r="AG31">
        <v>0.12914907668498687</v>
      </c>
      <c r="AH31">
        <v>-3.8038922557240996E-3</v>
      </c>
      <c r="AI31">
        <v>-3.9248416534860145E-3</v>
      </c>
      <c r="AJ31">
        <v>-2.9567983851831103E-5</v>
      </c>
      <c r="AK31">
        <v>-1.3041587549106991E-5</v>
      </c>
      <c r="AL31">
        <v>-3.2187062390679186E-5</v>
      </c>
      <c r="AM31">
        <v>-2.1312171277699355E-5</v>
      </c>
      <c r="AN31">
        <v>-1.5684182276645079E-5</v>
      </c>
      <c r="AO31">
        <v>-2.9567983851831103E-5</v>
      </c>
      <c r="AP31">
        <v>-1.3041587549106991E-5</v>
      </c>
      <c r="AQ31">
        <v>-3.2187062390679186E-5</v>
      </c>
      <c r="AR31">
        <v>-1.3009912894805685E-3</v>
      </c>
      <c r="AS31">
        <v>-5.7382985216070754E-4</v>
      </c>
      <c r="AT31">
        <v>-1.4162307451898843E-3</v>
      </c>
      <c r="AU31">
        <v>-1.3009912894805685E-3</v>
      </c>
      <c r="AV31">
        <v>-5.7382985216070754E-4</v>
      </c>
      <c r="AW31">
        <v>-1.4162307451898843E-3</v>
      </c>
      <c r="AX31">
        <v>-3.8038922557240996E-3</v>
      </c>
      <c r="AY31">
        <v>-3.9248416534860145E-3</v>
      </c>
      <c r="AZ31">
        <v>-2.3925353059882945E-3</v>
      </c>
      <c r="BA31">
        <v>-2.4686088866602892E-3</v>
      </c>
      <c r="BB31">
        <v>-2.4590449830353702E-3</v>
      </c>
      <c r="BC31">
        <v>-2.5372333200788361E-3</v>
      </c>
      <c r="BD31">
        <v>-2.3118527837109699E-3</v>
      </c>
      <c r="BE31">
        <v>-2.3853609650963076E-3</v>
      </c>
      <c r="BF31">
        <v>0.12914907668498687</v>
      </c>
      <c r="BG31">
        <v>6.4662320672350962E-2</v>
      </c>
      <c r="BH31">
        <v>6.5016916471991079E-2</v>
      </c>
    </row>
    <row r="32" spans="1:60" customFormat="1" x14ac:dyDescent="0.25">
      <c r="A32">
        <v>7.8046312960270287E-3</v>
      </c>
      <c r="B32">
        <v>8.0128346535134152E-3</v>
      </c>
      <c r="C32">
        <v>4.2005138201053885E-3</v>
      </c>
      <c r="D32">
        <v>4.5248494738817178E-3</v>
      </c>
      <c r="E32">
        <v>8.4430114572256725E-3</v>
      </c>
      <c r="F32">
        <v>5.6572898520857113E-3</v>
      </c>
      <c r="G32">
        <v>3.7794421502132633E-3</v>
      </c>
      <c r="H32">
        <v>-4.6981368420826266E-5</v>
      </c>
      <c r="I32">
        <v>1.2467127948051387E-3</v>
      </c>
      <c r="J32" s="9">
        <v>0.33774007428882091</v>
      </c>
      <c r="K32">
        <v>0.31838405972876777</v>
      </c>
      <c r="L32">
        <v>0.26712888852389766</v>
      </c>
      <c r="M32" s="9">
        <v>0.58364145572661674</v>
      </c>
      <c r="N32">
        <v>0.578930384720165</v>
      </c>
      <c r="O32">
        <v>0.56638791596525651</v>
      </c>
      <c r="P32" s="9">
        <v>7.7115011215209963E-3</v>
      </c>
      <c r="Q32">
        <v>3.5059326887130738E-3</v>
      </c>
      <c r="R32">
        <v>3.6887425499933886E-3</v>
      </c>
      <c r="S32">
        <v>7.3707756629593944E-4</v>
      </c>
      <c r="T32">
        <v>9.5170132955918526E-3</v>
      </c>
      <c r="U32">
        <v>1.0960290835638935E-3</v>
      </c>
      <c r="V32">
        <v>1.1844361549969925E-3</v>
      </c>
      <c r="W32">
        <v>9.1604041311933622E-3</v>
      </c>
      <c r="X32" s="9">
        <v>1.5374092361803766E-2</v>
      </c>
      <c r="Y32">
        <v>9.7589884567677362E-3</v>
      </c>
      <c r="Z32" s="9">
        <v>0.50384344738677733</v>
      </c>
      <c r="AA32">
        <v>0.5024397277513527</v>
      </c>
      <c r="AB32" s="9">
        <v>3.3115494251251222E-3</v>
      </c>
      <c r="AC32">
        <v>-5.5070937980797291E-2</v>
      </c>
      <c r="AD32">
        <v>-5.5492221967318192E-2</v>
      </c>
      <c r="AE32" s="15">
        <v>0.48692371275186025</v>
      </c>
      <c r="AF32" s="15" t="b">
        <v>0</v>
      </c>
      <c r="AG32">
        <v>0.12898672707948336</v>
      </c>
      <c r="AH32">
        <v>-3.5790116448882587E-3</v>
      </c>
      <c r="AI32">
        <v>-3.5963430308952249E-3</v>
      </c>
      <c r="AJ32">
        <v>-9.2523724614801733E-6</v>
      </c>
      <c r="AK32">
        <v>-2.2001206018944778E-5</v>
      </c>
      <c r="AL32">
        <v>-2.1060039458473159E-5</v>
      </c>
      <c r="AM32">
        <v>-1.2830296662722078E-5</v>
      </c>
      <c r="AN32">
        <v>-2.5882121553377402E-6</v>
      </c>
      <c r="AO32">
        <v>-9.2523724614801733E-6</v>
      </c>
      <c r="AP32">
        <v>-2.2001206018944778E-5</v>
      </c>
      <c r="AQ32">
        <v>-2.1060039458473159E-5</v>
      </c>
      <c r="AR32">
        <v>-3.423377810747664E-4</v>
      </c>
      <c r="AS32">
        <v>-8.1404462270095676E-4</v>
      </c>
      <c r="AT32">
        <v>-7.7922145996350692E-4</v>
      </c>
      <c r="AU32">
        <v>-3.9785201584364744E-4</v>
      </c>
      <c r="AV32">
        <v>-9.4605185881462548E-4</v>
      </c>
      <c r="AW32">
        <v>-9.0558169671434586E-4</v>
      </c>
      <c r="AX32">
        <v>-3.5790116448882587E-3</v>
      </c>
      <c r="AY32">
        <v>-3.5963430308952249E-3</v>
      </c>
      <c r="AZ32">
        <v>-2.0888595664850964E-3</v>
      </c>
      <c r="BA32">
        <v>-2.098974881843962E-3</v>
      </c>
      <c r="BB32">
        <v>-2.07199858849311E-3</v>
      </c>
      <c r="BC32">
        <v>-2.0820322544618567E-3</v>
      </c>
      <c r="BD32">
        <v>-2.0271089467636455E-3</v>
      </c>
      <c r="BE32">
        <v>-2.0369252343649205E-3</v>
      </c>
      <c r="BF32">
        <v>0.12898672707948336</v>
      </c>
      <c r="BG32">
        <v>6.4989117238864275E-2</v>
      </c>
      <c r="BH32">
        <v>6.4808056037353651E-2</v>
      </c>
    </row>
    <row r="33" spans="1:60" customFormat="1" x14ac:dyDescent="0.25">
      <c r="A33">
        <v>2.1214651867133704E-3</v>
      </c>
      <c r="B33">
        <v>3.0911055310315441E-3</v>
      </c>
      <c r="C33">
        <v>9.2429654659051813E-3</v>
      </c>
      <c r="D33">
        <v>5.3953170323984712E-3</v>
      </c>
      <c r="E33">
        <v>7.0363235894477568E-3</v>
      </c>
      <c r="F33">
        <v>7.8842125753790723E-3</v>
      </c>
      <c r="G33">
        <v>6.9556001801963172E-3</v>
      </c>
      <c r="H33">
        <v>6.6197688632814696E-3</v>
      </c>
      <c r="I33">
        <v>1.6290481199804402E-3</v>
      </c>
      <c r="J33" s="9">
        <v>0.46534653464391196</v>
      </c>
      <c r="K33">
        <v>0.50670030737734773</v>
      </c>
      <c r="L33">
        <v>0.33621295337261264</v>
      </c>
      <c r="M33" s="9">
        <v>0.61428175383577766</v>
      </c>
      <c r="N33">
        <v>0.62403263150568222</v>
      </c>
      <c r="O33">
        <v>0.58327031173794797</v>
      </c>
      <c r="P33" s="9">
        <v>4.4067192077636716E-3</v>
      </c>
      <c r="Q33">
        <v>3.3922374248504641E-4</v>
      </c>
      <c r="R33">
        <v>7.5064138179528599E-3</v>
      </c>
      <c r="S33">
        <v>1.5945916290722717E-3</v>
      </c>
      <c r="T33">
        <v>4.6525887873612257E-3</v>
      </c>
      <c r="U33">
        <v>6.142633759770047E-3</v>
      </c>
      <c r="V33">
        <v>9.2524461286745286E-3</v>
      </c>
      <c r="W33">
        <v>8.9237743074295182E-3</v>
      </c>
      <c r="X33" s="9">
        <v>1.1921139477163728E-2</v>
      </c>
      <c r="Y33">
        <v>1.0356928816701862E-2</v>
      </c>
      <c r="Z33" s="9">
        <v>0.50298024957488319</v>
      </c>
      <c r="AA33">
        <v>0.50258920905971416</v>
      </c>
      <c r="AB33" s="9">
        <v>9.6682637929916392E-3</v>
      </c>
      <c r="AC33">
        <v>-5.6964461706651717E-2</v>
      </c>
      <c r="AD33">
        <v>-5.6012543553624602E-2</v>
      </c>
      <c r="AE33" s="15">
        <v>0.4882184223577119</v>
      </c>
      <c r="AF33" s="15" t="b">
        <v>0</v>
      </c>
      <c r="AG33">
        <v>0.1285865472137861</v>
      </c>
      <c r="AH33">
        <v>-3.6842616435424349E-3</v>
      </c>
      <c r="AI33">
        <v>-3.6198784616981801E-3</v>
      </c>
      <c r="AJ33">
        <v>-2.0534100144261001E-5</v>
      </c>
      <c r="AK33">
        <v>-2.4572496772814882E-5</v>
      </c>
      <c r="AL33">
        <v>-3.8724138870152401E-5</v>
      </c>
      <c r="AM33">
        <v>-1.9436912932743062E-5</v>
      </c>
      <c r="AN33">
        <v>-1.5111563738023185E-5</v>
      </c>
      <c r="AO33">
        <v>-2.0534100144261001E-5</v>
      </c>
      <c r="AP33">
        <v>-2.4572496772814882E-5</v>
      </c>
      <c r="AQ33">
        <v>-3.8724138870152401E-5</v>
      </c>
      <c r="AR33">
        <v>-6.7762530476061307E-4</v>
      </c>
      <c r="AS33">
        <v>-8.1089239350289109E-4</v>
      </c>
      <c r="AT33">
        <v>-1.2778965827150292E-3</v>
      </c>
      <c r="AU33">
        <v>-8.4189810591470105E-4</v>
      </c>
      <c r="AV33">
        <v>-1.00747236768541E-3</v>
      </c>
      <c r="AW33">
        <v>-1.5876896936762484E-3</v>
      </c>
      <c r="AX33">
        <v>-3.6842616435424349E-3</v>
      </c>
      <c r="AY33">
        <v>-3.6198784616981801E-3</v>
      </c>
      <c r="AZ33">
        <v>-2.2631747039851316E-3</v>
      </c>
      <c r="BA33">
        <v>-2.2236252901243151E-3</v>
      </c>
      <c r="BB33">
        <v>-2.2990994885752356E-3</v>
      </c>
      <c r="BC33">
        <v>-2.2589222821842564E-3</v>
      </c>
      <c r="BD33">
        <v>-2.1489204373531605E-3</v>
      </c>
      <c r="BE33">
        <v>-2.1113676388081811E-3</v>
      </c>
      <c r="BF33">
        <v>0.1285865472137861</v>
      </c>
      <c r="BG33">
        <v>6.4676493609562624E-2</v>
      </c>
      <c r="BH33">
        <v>6.4626211059896341E-2</v>
      </c>
    </row>
    <row r="34" spans="1:60" customFormat="1" x14ac:dyDescent="0.25">
      <c r="A34">
        <v>1.0277859440776665E-3</v>
      </c>
      <c r="B34">
        <v>9.4485696255075767E-3</v>
      </c>
      <c r="C34">
        <v>7.83201883989996E-3</v>
      </c>
      <c r="D34">
        <v>6.0578706431375457E-3</v>
      </c>
      <c r="E34">
        <v>7.7895185908358868E-3</v>
      </c>
      <c r="F34">
        <v>2.2167971462343687E-3</v>
      </c>
      <c r="G34">
        <v>1.7205363081542583E-3</v>
      </c>
      <c r="H34">
        <v>8.958060437976428E-3</v>
      </c>
      <c r="I34">
        <v>6.9970488341779833E-3</v>
      </c>
      <c r="J34" s="9">
        <v>0.30513794450474219</v>
      </c>
      <c r="K34">
        <v>0.73777426079442088</v>
      </c>
      <c r="L34">
        <v>0.43748915781323638</v>
      </c>
      <c r="M34" s="9">
        <v>0.5756980470717209</v>
      </c>
      <c r="N34">
        <v>0.67650895674441658</v>
      </c>
      <c r="O34">
        <v>0.60766058495885322</v>
      </c>
      <c r="P34" s="9">
        <v>7.8653955459594728E-3</v>
      </c>
      <c r="Q34">
        <v>5.1633900403976439E-3</v>
      </c>
      <c r="R34">
        <v>2.41690200785533E-3</v>
      </c>
      <c r="S34">
        <v>3.6467601703070464E-3</v>
      </c>
      <c r="T34">
        <v>3.129849062679808E-3</v>
      </c>
      <c r="U34">
        <v>1.7561398993328661E-3</v>
      </c>
      <c r="V34">
        <v>3.7019842252752956E-3</v>
      </c>
      <c r="W34">
        <v>6.3990705221343182E-3</v>
      </c>
      <c r="X34" s="9">
        <v>1.1374172236006515E-2</v>
      </c>
      <c r="Y34">
        <v>1.2339330056450363E-2</v>
      </c>
      <c r="Z34" s="9">
        <v>0.50284351240320935</v>
      </c>
      <c r="AA34">
        <v>0.50308479337356538</v>
      </c>
      <c r="AB34" s="9">
        <v>8.114490509033203E-3</v>
      </c>
      <c r="AC34">
        <v>-5.6180076775898855E-2</v>
      </c>
      <c r="AD34">
        <v>-5.7544451734607475E-2</v>
      </c>
      <c r="AE34" s="15">
        <v>0.48773120440143602</v>
      </c>
      <c r="AF34" s="15" t="b">
        <v>0</v>
      </c>
      <c r="AG34">
        <v>0.12874885487956594</v>
      </c>
      <c r="AH34">
        <v>-3.637127743974896E-3</v>
      </c>
      <c r="AI34">
        <v>-3.727245695190395E-3</v>
      </c>
      <c r="AJ34">
        <v>-1.2885822038154082E-5</v>
      </c>
      <c r="AK34">
        <v>-1.2129281800783218E-5</v>
      </c>
      <c r="AL34">
        <v>-2.2675157093783412E-5</v>
      </c>
      <c r="AM34">
        <v>-8.0210927755523433E-6</v>
      </c>
      <c r="AN34">
        <v>-1.4474227281279094E-5</v>
      </c>
      <c r="AO34">
        <v>-1.2885822038154082E-5</v>
      </c>
      <c r="AP34">
        <v>-1.2129281800783218E-5</v>
      </c>
      <c r="AQ34">
        <v>-2.2675157093783412E-5</v>
      </c>
      <c r="AR34">
        <v>-4.6388959337354696E-4</v>
      </c>
      <c r="AS34">
        <v>-4.3665414482819585E-4</v>
      </c>
      <c r="AT34">
        <v>-8.1630565537620277E-4</v>
      </c>
      <c r="AU34">
        <v>-6.4429110190770413E-4</v>
      </c>
      <c r="AV34">
        <v>-6.0646409003916083E-4</v>
      </c>
      <c r="AW34">
        <v>-1.1337578546891706E-3</v>
      </c>
      <c r="AX34">
        <v>-3.637127743974896E-3</v>
      </c>
      <c r="AY34">
        <v>-3.727245695190395E-3</v>
      </c>
      <c r="AZ34">
        <v>-2.0938873391567218E-3</v>
      </c>
      <c r="BA34">
        <v>-2.1457680676775889E-3</v>
      </c>
      <c r="BB34">
        <v>-2.4605494956226304E-3</v>
      </c>
      <c r="BC34">
        <v>-2.5215150967833719E-3</v>
      </c>
      <c r="BD34">
        <v>-2.2101391724738593E-3</v>
      </c>
      <c r="BE34">
        <v>-2.264900299424763E-3</v>
      </c>
      <c r="BF34">
        <v>0.12874885487956594</v>
      </c>
      <c r="BG34">
        <v>6.4740526405532017E-2</v>
      </c>
      <c r="BH34">
        <v>6.4771591054169589E-2</v>
      </c>
    </row>
    <row r="35" spans="1:60" customFormat="1" x14ac:dyDescent="0.25">
      <c r="A35">
        <v>2.7997624387904019E-3</v>
      </c>
      <c r="B35">
        <v>7.7808046256972038E-3</v>
      </c>
      <c r="C35">
        <v>1.2483684176003956E-3</v>
      </c>
      <c r="D35">
        <v>2.3885150239809725E-3</v>
      </c>
      <c r="E35">
        <v>3.0982562017185769E-3</v>
      </c>
      <c r="F35">
        <v>9.1968484595037567E-3</v>
      </c>
      <c r="G35">
        <v>1.5479010211035901E-4</v>
      </c>
      <c r="H35">
        <v>6.6919309403224991E-3</v>
      </c>
      <c r="I35">
        <v>7.5302641587199261E-3</v>
      </c>
      <c r="J35" s="9">
        <v>0.12273281017908848</v>
      </c>
      <c r="K35">
        <v>0.58527610102571415</v>
      </c>
      <c r="L35">
        <v>0.91377056787156841</v>
      </c>
      <c r="M35" s="9">
        <v>0.53064474450815069</v>
      </c>
      <c r="N35">
        <v>0.64228053138553376</v>
      </c>
      <c r="O35">
        <v>0.71377111747350974</v>
      </c>
      <c r="P35" s="9">
        <v>7.6236629486083982E-3</v>
      </c>
      <c r="Q35">
        <v>4.370033144950867E-3</v>
      </c>
      <c r="R35">
        <v>4.3266359069688235E-3</v>
      </c>
      <c r="S35">
        <v>4.2349583486830785E-3</v>
      </c>
      <c r="T35">
        <v>7.5125049884432792E-3</v>
      </c>
      <c r="U35">
        <v>5.5485739071197736E-3</v>
      </c>
      <c r="V35">
        <v>6.4282317515968728E-3</v>
      </c>
      <c r="W35">
        <v>8.9687898383236653E-4</v>
      </c>
      <c r="X35" s="9">
        <v>1.4744705250055482E-2</v>
      </c>
      <c r="Y35">
        <v>1.0821198847915789E-2</v>
      </c>
      <c r="Z35" s="9">
        <v>0.50368610953079285</v>
      </c>
      <c r="AA35">
        <v>0.50270527331344494</v>
      </c>
      <c r="AB35" s="9">
        <v>1.0984736680984498E-3</v>
      </c>
      <c r="AC35">
        <v>-5.5276378640409449E-2</v>
      </c>
      <c r="AD35">
        <v>-5.7756036500353165E-2</v>
      </c>
      <c r="AE35" s="15">
        <v>0.48605918051273966</v>
      </c>
      <c r="AF35" s="15" t="b">
        <v>0</v>
      </c>
      <c r="AG35">
        <v>0.1292058820454719</v>
      </c>
      <c r="AH35">
        <v>-3.5973429461202389E-3</v>
      </c>
      <c r="AI35">
        <v>-3.7513977044437092E-3</v>
      </c>
      <c r="AJ35">
        <v>-1.6689523401068857E-5</v>
      </c>
      <c r="AK35">
        <v>-3.0726677657369709E-5</v>
      </c>
      <c r="AL35">
        <v>-1.8907157297817333E-5</v>
      </c>
      <c r="AM35">
        <v>-1.4211633643376884E-5</v>
      </c>
      <c r="AN35">
        <v>-2.2787704347403245E-5</v>
      </c>
      <c r="AO35">
        <v>-1.6689523401068857E-5</v>
      </c>
      <c r="AP35">
        <v>-3.0726677657369709E-5</v>
      </c>
      <c r="AQ35">
        <v>-1.8907157297817333E-5</v>
      </c>
      <c r="AR35">
        <v>-7.6771807644916744E-4</v>
      </c>
      <c r="AS35">
        <v>-1.4134271722390066E-3</v>
      </c>
      <c r="AT35">
        <v>-8.6972923569959728E-4</v>
      </c>
      <c r="AU35">
        <v>-1.0848190210694757E-3</v>
      </c>
      <c r="AV35">
        <v>-1.9972340477290313E-3</v>
      </c>
      <c r="AW35">
        <v>-1.2289652243581267E-3</v>
      </c>
      <c r="AX35">
        <v>-3.5973429461202389E-3</v>
      </c>
      <c r="AY35">
        <v>-3.7513977044437092E-3</v>
      </c>
      <c r="AZ35">
        <v>-1.9089111285521723E-3</v>
      </c>
      <c r="BA35">
        <v>-1.9906594764229949E-3</v>
      </c>
      <c r="BB35">
        <v>-2.3105033390101084E-3</v>
      </c>
      <c r="BC35">
        <v>-2.4094497110485769E-3</v>
      </c>
      <c r="BD35">
        <v>-2.5676794945876905E-3</v>
      </c>
      <c r="BE35">
        <v>-2.6776393315883456E-3</v>
      </c>
      <c r="BF35">
        <v>0.1292058820454719</v>
      </c>
      <c r="BG35">
        <v>6.5079208055978263E-2</v>
      </c>
      <c r="BH35">
        <v>6.4952478247373685E-2</v>
      </c>
    </row>
    <row r="36" spans="1:60" customFormat="1" x14ac:dyDescent="0.25">
      <c r="A36">
        <v>5.1082089101047003E-3</v>
      </c>
      <c r="B36">
        <v>8.1685068710413422E-3</v>
      </c>
      <c r="C36">
        <v>4.917563707239171E-5</v>
      </c>
      <c r="D36">
        <v>5.6647141493803687E-4</v>
      </c>
      <c r="E36">
        <v>2.2472643986947015E-3</v>
      </c>
      <c r="F36">
        <v>1.5240460791373514E-3</v>
      </c>
      <c r="G36">
        <v>7.3474117629118412E-3</v>
      </c>
      <c r="H36">
        <v>8.2739096589065451E-3</v>
      </c>
      <c r="I36">
        <v>2.160390954051124E-3</v>
      </c>
      <c r="J36" s="9">
        <v>0.42960882680802531</v>
      </c>
      <c r="K36">
        <v>0.54413505646391058</v>
      </c>
      <c r="L36">
        <v>0.17373633695882887</v>
      </c>
      <c r="M36" s="9">
        <v>0.60578025601800156</v>
      </c>
      <c r="N36">
        <v>0.63277381187837056</v>
      </c>
      <c r="O36">
        <v>0.54332516066699865</v>
      </c>
      <c r="P36" s="9">
        <v>2.4890422821044922E-4</v>
      </c>
      <c r="Q36">
        <v>3.2570046186447144E-3</v>
      </c>
      <c r="R36">
        <v>2.4618263594386094E-3</v>
      </c>
      <c r="S36">
        <v>9.4565184241253929E-4</v>
      </c>
      <c r="T36">
        <v>-8.1498751273441052E-5</v>
      </c>
      <c r="U36">
        <v>6.5368922014302248E-3</v>
      </c>
      <c r="V36">
        <v>5.4129229635512775E-3</v>
      </c>
      <c r="W36">
        <v>4.6097923714437678E-3</v>
      </c>
      <c r="X36" s="9">
        <v>1.6886597549964123E-3</v>
      </c>
      <c r="Y36">
        <v>1.0470852210838464E-2</v>
      </c>
      <c r="Z36" s="9">
        <v>0.50042216483842972</v>
      </c>
      <c r="AA36">
        <v>0.50261768913607374</v>
      </c>
      <c r="AB36" s="9">
        <v>8.2891070842742928E-3</v>
      </c>
      <c r="AC36">
        <v>-5.7559881275593493E-2</v>
      </c>
      <c r="AD36">
        <v>-5.4945582208531039E-2</v>
      </c>
      <c r="AE36" s="15">
        <v>0.48796938376943855</v>
      </c>
      <c r="AF36" s="15" t="b">
        <v>0</v>
      </c>
      <c r="AG36">
        <v>0.12832244422925237</v>
      </c>
      <c r="AH36">
        <v>-3.6962305317528787E-3</v>
      </c>
      <c r="AI36">
        <v>-3.5438323796624567E-3</v>
      </c>
      <c r="AJ36">
        <v>-7.5423939113757316E-6</v>
      </c>
      <c r="AK36">
        <v>-1.4468001183812066E-5</v>
      </c>
      <c r="AL36">
        <v>-1.9746469783770794E-5</v>
      </c>
      <c r="AM36">
        <v>-2.4076981577667874E-6</v>
      </c>
      <c r="AN36">
        <v>-1.1978125674904012E-5</v>
      </c>
      <c r="AO36">
        <v>-7.5423939113757316E-6</v>
      </c>
      <c r="AP36">
        <v>-1.4468001183812066E-5</v>
      </c>
      <c r="AQ36">
        <v>-1.9746469783770794E-5</v>
      </c>
      <c r="AR36">
        <v>-2.7152618080952633E-4</v>
      </c>
      <c r="AS36">
        <v>-5.2084804261723436E-4</v>
      </c>
      <c r="AT36">
        <v>-7.1087291221574856E-4</v>
      </c>
      <c r="AU36">
        <v>-4.1483166512566521E-4</v>
      </c>
      <c r="AV36">
        <v>-7.9574006510966361E-4</v>
      </c>
      <c r="AW36">
        <v>-1.0860558381073936E-3</v>
      </c>
      <c r="AX36">
        <v>-3.6962305317528787E-3</v>
      </c>
      <c r="AY36">
        <v>-3.5438323796624567E-3</v>
      </c>
      <c r="AZ36">
        <v>-2.2391034778268129E-3</v>
      </c>
      <c r="BA36">
        <v>-2.1467836862368067E-3</v>
      </c>
      <c r="BB36">
        <v>-2.3388778831584856E-3</v>
      </c>
      <c r="BC36">
        <v>-2.2424443235370098E-3</v>
      </c>
      <c r="BD36">
        <v>-2.0082550475268987E-3</v>
      </c>
      <c r="BE36">
        <v>-1.9254532970570165E-3</v>
      </c>
      <c r="BF36">
        <v>0.12832244422925237</v>
      </c>
      <c r="BG36">
        <v>6.4215395338561132E-2</v>
      </c>
      <c r="BH36">
        <v>6.4497130382799528E-2</v>
      </c>
    </row>
    <row r="37" spans="1:60" customFormat="1" x14ac:dyDescent="0.25">
      <c r="A37">
        <v>4.5293756014787179E-3</v>
      </c>
      <c r="B37">
        <v>2.5673949356589286E-3</v>
      </c>
      <c r="C37">
        <v>3.2149499632826576E-3</v>
      </c>
      <c r="D37">
        <v>8.7110152801657629E-3</v>
      </c>
      <c r="E37">
        <v>3.4210783754041927E-3</v>
      </c>
      <c r="F37">
        <v>1.646532311015749E-3</v>
      </c>
      <c r="G37">
        <v>9.4666611162585301E-3</v>
      </c>
      <c r="H37">
        <v>9.2363011432497581E-3</v>
      </c>
      <c r="I37">
        <v>4.7965185364132832E-3</v>
      </c>
      <c r="J37" s="9">
        <v>1.0569244038387569</v>
      </c>
      <c r="K37">
        <v>0.785611333552794</v>
      </c>
      <c r="L37">
        <v>0.40361524283172856</v>
      </c>
      <c r="M37" s="9">
        <v>0.74210235630913168</v>
      </c>
      <c r="N37">
        <v>0.68688822287752227</v>
      </c>
      <c r="O37">
        <v>0.59955595031707465</v>
      </c>
      <c r="P37" s="9">
        <v>4.3397521972656254E-3</v>
      </c>
      <c r="Q37">
        <v>1.0284060239791871E-3</v>
      </c>
      <c r="R37">
        <v>4.0153319787295891E-3</v>
      </c>
      <c r="S37">
        <v>6.4893032634126598E-3</v>
      </c>
      <c r="T37">
        <v>6.552884072953678E-3</v>
      </c>
      <c r="U37">
        <v>1.0607075990752194E-4</v>
      </c>
      <c r="V37">
        <v>8.584368345765649E-3</v>
      </c>
      <c r="W37">
        <v>7.0404092036961928E-3</v>
      </c>
      <c r="X37" s="9">
        <v>1.1820638415637835E-2</v>
      </c>
      <c r="Y37">
        <v>1.0138111253077555E-2</v>
      </c>
      <c r="Z37" s="9">
        <v>0.50295512519463681</v>
      </c>
      <c r="AA37">
        <v>0.50253450610498729</v>
      </c>
      <c r="AB37" s="9">
        <v>2.7961796522140503E-3</v>
      </c>
      <c r="AC37">
        <v>-5.9102801964020187E-2</v>
      </c>
      <c r="AD37">
        <v>-6.2612266852922788E-2</v>
      </c>
      <c r="AE37" s="15">
        <v>0.48540547144438312</v>
      </c>
      <c r="AF37" s="15" t="b">
        <v>0</v>
      </c>
      <c r="AG37">
        <v>0.12924465521449935</v>
      </c>
      <c r="AH37">
        <v>-3.8419340086816058E-3</v>
      </c>
      <c r="AI37">
        <v>-4.0666604066885549E-3</v>
      </c>
      <c r="AJ37">
        <v>-3.103207356084559E-5</v>
      </c>
      <c r="AK37">
        <v>-1.758921674079934E-5</v>
      </c>
      <c r="AL37">
        <v>-3.6939559447340782E-5</v>
      </c>
      <c r="AM37">
        <v>-1.8783222440675213E-5</v>
      </c>
      <c r="AN37">
        <v>-4.2438517465704749E-5</v>
      </c>
      <c r="AO37">
        <v>-3.103207356084559E-5</v>
      </c>
      <c r="AP37">
        <v>-1.758921674079934E-5</v>
      </c>
      <c r="AQ37">
        <v>-3.6939559447340782E-5</v>
      </c>
      <c r="AR37">
        <v>-1.4895395309205883E-3</v>
      </c>
      <c r="AS37">
        <v>-8.4428240355836838E-4</v>
      </c>
      <c r="AT37">
        <v>-1.7730988534723575E-3</v>
      </c>
      <c r="AU37">
        <v>-2.0791489285766547E-3</v>
      </c>
      <c r="AV37">
        <v>-1.1784775216335558E-3</v>
      </c>
      <c r="AW37">
        <v>-2.4749504829718323E-3</v>
      </c>
      <c r="AX37">
        <v>-3.8419340086816058E-3</v>
      </c>
      <c r="AY37">
        <v>-4.0666604066885549E-3</v>
      </c>
      <c r="AZ37">
        <v>-2.8511082806268076E-3</v>
      </c>
      <c r="BA37">
        <v>-3.0178782701126283E-3</v>
      </c>
      <c r="BB37">
        <v>-2.6389792236360234E-3</v>
      </c>
      <c r="BC37">
        <v>-2.7933411397966833E-3</v>
      </c>
      <c r="BD37">
        <v>-2.3034543956305881E-3</v>
      </c>
      <c r="BE37">
        <v>-2.4381904447489779E-3</v>
      </c>
      <c r="BF37">
        <v>0.12924465521449935</v>
      </c>
      <c r="BG37">
        <v>6.5004261744146183E-2</v>
      </c>
      <c r="BH37">
        <v>6.4949898974927797E-2</v>
      </c>
    </row>
    <row r="38" spans="1:60" customFormat="1" x14ac:dyDescent="0.25">
      <c r="A38">
        <v>9.5491747667644138E-4</v>
      </c>
      <c r="B38">
        <v>3.385603520428711E-3</v>
      </c>
      <c r="C38">
        <v>7.3552328462207365E-3</v>
      </c>
      <c r="D38">
        <v>5.897132064031415E-3</v>
      </c>
      <c r="E38">
        <v>4.9223296421554543E-3</v>
      </c>
      <c r="F38">
        <v>2.4771302680375784E-3</v>
      </c>
      <c r="G38">
        <v>8.8682120823435975E-3</v>
      </c>
      <c r="H38">
        <v>6.3189730799650852E-3</v>
      </c>
      <c r="I38">
        <v>4.1043869440876553E-5</v>
      </c>
      <c r="J38" s="9">
        <v>0.84564066978355013</v>
      </c>
      <c r="K38">
        <v>0.64127841658603668</v>
      </c>
      <c r="L38">
        <v>0.13375646615343401</v>
      </c>
      <c r="M38" s="9">
        <v>0.69965187467089873</v>
      </c>
      <c r="N38">
        <v>0.65504239122125207</v>
      </c>
      <c r="O38">
        <v>0.53338935121335451</v>
      </c>
      <c r="P38" s="9">
        <v>5.5260896682739263E-3</v>
      </c>
      <c r="Q38">
        <v>5.7945889234542851E-3</v>
      </c>
      <c r="R38">
        <v>9.5972426285370685E-3</v>
      </c>
      <c r="S38">
        <v>4.5990626428835946E-3</v>
      </c>
      <c r="T38">
        <v>3.3890199394492424E-3</v>
      </c>
      <c r="U38">
        <v>3.862768023598417E-3</v>
      </c>
      <c r="V38">
        <v>1.9013035142853547E-4</v>
      </c>
      <c r="W38">
        <v>1.2852046148801978E-3</v>
      </c>
      <c r="X38" s="9">
        <v>1.4460770190034685E-2</v>
      </c>
      <c r="Y38">
        <v>1.2228122981894945E-2</v>
      </c>
      <c r="Z38" s="9">
        <v>0.50361512954991605</v>
      </c>
      <c r="AA38">
        <v>0.50305699265365911</v>
      </c>
      <c r="AB38" s="9">
        <v>8.0675005912780769E-3</v>
      </c>
      <c r="AC38">
        <v>-5.5682092081092427E-2</v>
      </c>
      <c r="AD38">
        <v>-6.1036075969010652E-2</v>
      </c>
      <c r="AE38" s="15">
        <v>0.48733284402501514</v>
      </c>
      <c r="AF38" s="15" t="b">
        <v>0</v>
      </c>
      <c r="AG38">
        <v>0.12893912366515442</v>
      </c>
      <c r="AH38">
        <v>-3.615755263072598E-3</v>
      </c>
      <c r="AI38">
        <v>-3.9590274168033778E-3</v>
      </c>
      <c r="AJ38">
        <v>-3.7017947951590883E-5</v>
      </c>
      <c r="AK38">
        <v>-1.8044237368382208E-5</v>
      </c>
      <c r="AL38">
        <v>-3.0806569384675858E-6</v>
      </c>
      <c r="AM38">
        <v>-1.5737530041308376E-5</v>
      </c>
      <c r="AN38">
        <v>-2.7430691343997478E-5</v>
      </c>
      <c r="AO38">
        <v>-3.7017947951590883E-5</v>
      </c>
      <c r="AP38">
        <v>-1.8044237368382208E-5</v>
      </c>
      <c r="AQ38">
        <v>-3.0806569384675858E-6</v>
      </c>
      <c r="AR38">
        <v>-1.8508973975795442E-3</v>
      </c>
      <c r="AS38">
        <v>-9.0221186841911037E-4</v>
      </c>
      <c r="AT38">
        <v>-1.5403284692337929E-4</v>
      </c>
      <c r="AU38">
        <v>-2.2951127729986349E-3</v>
      </c>
      <c r="AV38">
        <v>-1.118742716839697E-3</v>
      </c>
      <c r="AW38">
        <v>-1.9100073018499031E-4</v>
      </c>
      <c r="AX38">
        <v>-3.615755263072598E-3</v>
      </c>
      <c r="AY38">
        <v>-3.9590274168033778E-3</v>
      </c>
      <c r="AZ38">
        <v>-2.529769948159912E-3</v>
      </c>
      <c r="BA38">
        <v>-2.7699409540399688E-3</v>
      </c>
      <c r="BB38">
        <v>-2.3684729735939021E-3</v>
      </c>
      <c r="BC38">
        <v>-2.5933307860133811E-3</v>
      </c>
      <c r="BD38">
        <v>-1.928605353916565E-3</v>
      </c>
      <c r="BE38">
        <v>-2.1117030652846366E-3</v>
      </c>
      <c r="BF38">
        <v>0.12893912366515442</v>
      </c>
      <c r="BG38">
        <v>6.493569346867939E-2</v>
      </c>
      <c r="BH38">
        <v>6.4863727786390823E-2</v>
      </c>
    </row>
    <row r="39" spans="1:60" customFormat="1" x14ac:dyDescent="0.25">
      <c r="A39">
        <v>1.6068112613008385E-3</v>
      </c>
      <c r="B39">
        <v>1.2093464144727953E-3</v>
      </c>
      <c r="C39">
        <v>3.9357079811351368E-3</v>
      </c>
      <c r="D39">
        <v>7.9244236539820923E-3</v>
      </c>
      <c r="E39">
        <v>8.2337315572994906E-3</v>
      </c>
      <c r="F39">
        <v>1.8342134957553449E-3</v>
      </c>
      <c r="G39">
        <v>2.2311838471372669E-3</v>
      </c>
      <c r="H39">
        <v>3.5507644991389551E-3</v>
      </c>
      <c r="I39">
        <v>1.5780183751990585E-3</v>
      </c>
      <c r="J39" s="9">
        <v>0.60278827729647699</v>
      </c>
      <c r="K39">
        <v>0.70843326662285377</v>
      </c>
      <c r="L39">
        <v>0.21421310837752672</v>
      </c>
      <c r="M39" s="9">
        <v>0.64629396074539303</v>
      </c>
      <c r="N39">
        <v>0.67005487662738183</v>
      </c>
      <c r="O39">
        <v>0.5533494280402611</v>
      </c>
      <c r="P39" s="9">
        <v>1.4690494537353516E-3</v>
      </c>
      <c r="Q39">
        <v>9.5721548795700082E-3</v>
      </c>
      <c r="R39">
        <v>8.5664463372076491E-3</v>
      </c>
      <c r="S39">
        <v>2.4384086149030577E-3</v>
      </c>
      <c r="T39">
        <v>1.3655070276345983E-3</v>
      </c>
      <c r="U39">
        <v>2.5532678494092926E-4</v>
      </c>
      <c r="V39">
        <v>5.4824310602403104E-3</v>
      </c>
      <c r="W39">
        <v>6.6572040717885507E-3</v>
      </c>
      <c r="X39" s="9">
        <v>7.9204566294576711E-3</v>
      </c>
      <c r="Y39">
        <v>1.5002926664066146E-2</v>
      </c>
      <c r="Z39" s="9">
        <v>0.50198010380578306</v>
      </c>
      <c r="AA39">
        <v>0.50375066131393575</v>
      </c>
      <c r="AB39" s="9">
        <v>8.8526785373687744E-4</v>
      </c>
      <c r="AC39">
        <v>-5.7996542554221923E-2</v>
      </c>
      <c r="AD39">
        <v>-5.6338507815694529E-2</v>
      </c>
      <c r="AE39" s="15">
        <v>0.48585167721135775</v>
      </c>
      <c r="AF39" s="15" t="b">
        <v>0</v>
      </c>
      <c r="AG39">
        <v>0.12917018704749933</v>
      </c>
      <c r="AH39">
        <v>-3.7605459225863885E-3</v>
      </c>
      <c r="AI39">
        <v>-3.6659223172876582E-3</v>
      </c>
      <c r="AJ39">
        <v>-2.6597278810061901E-5</v>
      </c>
      <c r="AK39">
        <v>-4.0679433888807625E-6</v>
      </c>
      <c r="AL39">
        <v>-2.49127467448128E-5</v>
      </c>
      <c r="AM39">
        <v>-1.6527592062588981E-5</v>
      </c>
      <c r="AN39">
        <v>-7.5777334978932769E-6</v>
      </c>
      <c r="AO39">
        <v>-2.6597278810061901E-5</v>
      </c>
      <c r="AP39">
        <v>-4.0679433888807625E-6</v>
      </c>
      <c r="AQ39">
        <v>-2.49127467448128E-5</v>
      </c>
      <c r="AR39">
        <v>-1.5160448921735284E-3</v>
      </c>
      <c r="AS39">
        <v>-2.3187277316620347E-4</v>
      </c>
      <c r="AT39">
        <v>-1.4200265644543296E-3</v>
      </c>
      <c r="AU39">
        <v>-1.7820176802741472E-3</v>
      </c>
      <c r="AV39">
        <v>-2.7255220705501106E-4</v>
      </c>
      <c r="AW39">
        <v>-1.6691540319024576E-3</v>
      </c>
      <c r="AX39">
        <v>-3.7605459225863885E-3</v>
      </c>
      <c r="AY39">
        <v>-3.6659223172876582E-3</v>
      </c>
      <c r="AZ39">
        <v>-2.430418118873295E-3</v>
      </c>
      <c r="BA39">
        <v>-2.3692634542247701E-3</v>
      </c>
      <c r="BB39">
        <v>-2.5197721342102262E-3</v>
      </c>
      <c r="BC39">
        <v>-2.4563691260357477E-3</v>
      </c>
      <c r="BD39">
        <v>-2.0808959353823143E-3</v>
      </c>
      <c r="BE39">
        <v>-2.0285360175111545E-3</v>
      </c>
      <c r="BF39">
        <v>0.12917018704749933</v>
      </c>
      <c r="BG39">
        <v>6.4840863902716123E-2</v>
      </c>
      <c r="BH39">
        <v>6.5069567147222562E-2</v>
      </c>
    </row>
    <row r="40" spans="1:60" customFormat="1" x14ac:dyDescent="0.25">
      <c r="A40">
        <v>4.0493864959344665E-3</v>
      </c>
      <c r="B40">
        <v>1.253076310350348E-3</v>
      </c>
      <c r="C40">
        <v>3.5515408574649469E-3</v>
      </c>
      <c r="D40">
        <v>4.2244112016585674E-3</v>
      </c>
      <c r="E40">
        <v>8.9757559419605104E-4</v>
      </c>
      <c r="F40">
        <v>8.6715365084382E-3</v>
      </c>
      <c r="G40">
        <v>9.0102030442216225E-3</v>
      </c>
      <c r="H40">
        <v>5.5990626496445249E-3</v>
      </c>
      <c r="I40">
        <v>4.5235537178732821E-3</v>
      </c>
      <c r="J40" s="9">
        <v>0.66660811335642578</v>
      </c>
      <c r="K40">
        <v>0.35942261605945491</v>
      </c>
      <c r="L40">
        <v>0.53925884197357277</v>
      </c>
      <c r="M40" s="9">
        <v>0.6607432434850814</v>
      </c>
      <c r="N40">
        <v>0.58890065850619933</v>
      </c>
      <c r="O40">
        <v>0.63163998865224324</v>
      </c>
      <c r="P40" s="9">
        <v>6.8610143661499024E-3</v>
      </c>
      <c r="Q40">
        <v>3.2839554548263553E-3</v>
      </c>
      <c r="R40">
        <v>2.8689753569775128E-3</v>
      </c>
      <c r="S40">
        <v>8.6244751651826778E-3</v>
      </c>
      <c r="T40">
        <v>3.6252554390150352E-4</v>
      </c>
      <c r="U40">
        <v>4.3604510141179408E-3</v>
      </c>
      <c r="V40">
        <v>5.0412978500232238E-3</v>
      </c>
      <c r="W40">
        <v>6.1404865651792234E-3</v>
      </c>
      <c r="X40" s="9">
        <v>8.970161980526907E-3</v>
      </c>
      <c r="Y40">
        <v>1.5428968486772828E-2</v>
      </c>
      <c r="Z40" s="9">
        <v>0.5022425254583075</v>
      </c>
      <c r="AA40">
        <v>0.50385716560448779</v>
      </c>
      <c r="AB40" s="9">
        <v>1.5578711032867433E-3</v>
      </c>
      <c r="AC40">
        <v>-6.0514016019560628E-2</v>
      </c>
      <c r="AD40">
        <v>-6.1654626963111324E-2</v>
      </c>
      <c r="AE40" s="15">
        <v>0.4850294842450486</v>
      </c>
      <c r="AF40" s="15" t="b">
        <v>0</v>
      </c>
      <c r="AG40">
        <v>0.12941180190813856</v>
      </c>
      <c r="AH40">
        <v>-3.9331756547265808E-3</v>
      </c>
      <c r="AI40">
        <v>-4.0201938788502704E-3</v>
      </c>
      <c r="AJ40">
        <v>-3.036527923564698E-5</v>
      </c>
      <c r="AK40">
        <v>-1.116304489432692E-5</v>
      </c>
      <c r="AL40">
        <v>-2.8116984454373672E-5</v>
      </c>
      <c r="AM40">
        <v>-1.1845489347659232E-5</v>
      </c>
      <c r="AN40">
        <v>-2.7334027913050089E-5</v>
      </c>
      <c r="AO40">
        <v>-3.036527923564698E-5</v>
      </c>
      <c r="AP40">
        <v>-1.116304489432692E-5</v>
      </c>
      <c r="AQ40">
        <v>-2.8116984454373672E-5</v>
      </c>
      <c r="AR40">
        <v>-9.413236563050564E-4</v>
      </c>
      <c r="AS40">
        <v>-3.4605439172413451E-4</v>
      </c>
      <c r="AT40">
        <v>-8.7162651808558379E-4</v>
      </c>
      <c r="AU40">
        <v>-1.7915514749031719E-3</v>
      </c>
      <c r="AV40">
        <v>-6.5861964876528828E-4</v>
      </c>
      <c r="AW40">
        <v>-1.6589020828080467E-3</v>
      </c>
      <c r="AX40">
        <v>-3.9331756547265808E-3</v>
      </c>
      <c r="AY40">
        <v>-4.0201938788502704E-3</v>
      </c>
      <c r="AZ40">
        <v>-2.5988192393005998E-3</v>
      </c>
      <c r="BA40">
        <v>-2.6563159429503981E-3</v>
      </c>
      <c r="BB40">
        <v>-2.316249733089035E-3</v>
      </c>
      <c r="BC40">
        <v>-2.367494822577516E-3</v>
      </c>
      <c r="BD40">
        <v>-2.4843510259187768E-3</v>
      </c>
      <c r="BE40">
        <v>-2.5393152160168024E-3</v>
      </c>
      <c r="BF40">
        <v>0.12941180190813856</v>
      </c>
      <c r="BG40">
        <v>6.4996110214453728E-2</v>
      </c>
      <c r="BH40">
        <v>6.5205063705204139E-2</v>
      </c>
    </row>
    <row r="41" spans="1:60" customFormat="1" x14ac:dyDescent="0.25">
      <c r="A41">
        <v>6.6887870949799344E-3</v>
      </c>
      <c r="B41">
        <v>4.930170531025536E-4</v>
      </c>
      <c r="C41">
        <v>8.7505712657363465E-3</v>
      </c>
      <c r="D41">
        <v>6.814840554309894E-3</v>
      </c>
      <c r="E41">
        <v>8.2965285384139619E-3</v>
      </c>
      <c r="F41">
        <v>3.4056426112779553E-3</v>
      </c>
      <c r="G41">
        <v>8.8744668634174531E-3</v>
      </c>
      <c r="H41">
        <v>1.8715719607240379E-3</v>
      </c>
      <c r="I41">
        <v>8.4436369187257821E-3</v>
      </c>
      <c r="J41" s="9">
        <v>0.80366365726413858</v>
      </c>
      <c r="K41">
        <v>0.38120915115172188</v>
      </c>
      <c r="L41">
        <v>0.67160552885125457</v>
      </c>
      <c r="M41" s="9">
        <v>0.6907576269945549</v>
      </c>
      <c r="N41">
        <v>0.5941647023552834</v>
      </c>
      <c r="O41">
        <v>0.66186257070067034</v>
      </c>
      <c r="P41" s="9">
        <v>8.4256172180175778E-3</v>
      </c>
      <c r="Q41">
        <v>1.7590922117233277E-3</v>
      </c>
      <c r="R41">
        <v>2.8243711088559386E-3</v>
      </c>
      <c r="S41">
        <v>7.1759775748872863E-3</v>
      </c>
      <c r="T41">
        <v>4.7554386755760888E-3</v>
      </c>
      <c r="U41">
        <v>7.7946738772373108E-3</v>
      </c>
      <c r="V41">
        <v>2.0687161485211266E-4</v>
      </c>
      <c r="W41">
        <v>7.0570837344415135E-4</v>
      </c>
      <c r="X41" s="9">
        <v>1.3202086908165355E-2</v>
      </c>
      <c r="Y41">
        <v>1.1814355495156555E-2</v>
      </c>
      <c r="Z41" s="9">
        <v>0.50330047378914677</v>
      </c>
      <c r="AA41">
        <v>0.50295355451935453</v>
      </c>
      <c r="AB41" s="9">
        <v>9.2099612951278692E-3</v>
      </c>
      <c r="AC41">
        <v>-5.7980885449645803E-2</v>
      </c>
      <c r="AD41">
        <v>-6.2827998044313063E-2</v>
      </c>
      <c r="AE41" s="15">
        <v>0.48711000404679305</v>
      </c>
      <c r="AF41" s="15" t="b">
        <v>0</v>
      </c>
      <c r="AG41">
        <v>0.12893865547648706</v>
      </c>
      <c r="AH41">
        <v>-3.7626629741073355E-3</v>
      </c>
      <c r="AI41">
        <v>-4.0744054169697345E-3</v>
      </c>
      <c r="AJ41">
        <v>-2.7537051763728514E-5</v>
      </c>
      <c r="AK41">
        <v>-2.9501331816702886E-5</v>
      </c>
      <c r="AL41">
        <v>-2.418267252996361E-6</v>
      </c>
      <c r="AM41">
        <v>-1.3660305385836715E-5</v>
      </c>
      <c r="AN41">
        <v>-2.1120626305833287E-5</v>
      </c>
      <c r="AO41">
        <v>-2.7537051763728514E-5</v>
      </c>
      <c r="AP41">
        <v>-2.9501331816702886E-5</v>
      </c>
      <c r="AQ41">
        <v>-2.418267252996361E-6</v>
      </c>
      <c r="AR41">
        <v>-8.5364860467558395E-4</v>
      </c>
      <c r="AS41">
        <v>-9.1454128631778941E-4</v>
      </c>
      <c r="AT41">
        <v>-7.4966284842887192E-5</v>
      </c>
      <c r="AU41">
        <v>-1.8174454164060819E-3</v>
      </c>
      <c r="AV41">
        <v>-1.9470878999023906E-3</v>
      </c>
      <c r="AW41">
        <v>-1.5960563869775983E-4</v>
      </c>
      <c r="AX41">
        <v>-3.7626629741073355E-3</v>
      </c>
      <c r="AY41">
        <v>-4.0744054169697345E-3</v>
      </c>
      <c r="AZ41">
        <v>-2.5990881471746573E-3</v>
      </c>
      <c r="BA41">
        <v>-2.8144266172397737E-3</v>
      </c>
      <c r="BB41">
        <v>-2.2356415260737306E-3</v>
      </c>
      <c r="BC41">
        <v>-2.4208678818485765E-3</v>
      </c>
      <c r="BD41">
        <v>-2.4903657887229108E-3</v>
      </c>
      <c r="BE41">
        <v>-2.6966964433523251E-3</v>
      </c>
      <c r="BF41">
        <v>0.12893865547648706</v>
      </c>
      <c r="BG41">
        <v>6.4894886391051496E-2</v>
      </c>
      <c r="BH41">
        <v>6.4850155086845607E-2</v>
      </c>
    </row>
    <row r="42" spans="1:60" customFormat="1" x14ac:dyDescent="0.25">
      <c r="A42">
        <v>9.2360349692093436E-3</v>
      </c>
      <c r="B42">
        <v>5.4360488119546456E-3</v>
      </c>
      <c r="C42">
        <v>3.036168245083396E-3</v>
      </c>
      <c r="D42">
        <v>5.9602814157471255E-3</v>
      </c>
      <c r="E42">
        <v>6.5766013245742647E-3</v>
      </c>
      <c r="F42">
        <v>5.0044921771281309E-3</v>
      </c>
      <c r="G42">
        <v>8.2991408789501001E-6</v>
      </c>
      <c r="H42">
        <v>9.179406415716327E-3</v>
      </c>
      <c r="I42">
        <v>6.4736705067278593E-3</v>
      </c>
      <c r="J42" s="9">
        <v>0.34930404130195353</v>
      </c>
      <c r="K42">
        <v>0.74747858094134079</v>
      </c>
      <c r="L42">
        <v>0.54723904261050116</v>
      </c>
      <c r="M42" s="9">
        <v>0.5864488005784837</v>
      </c>
      <c r="N42">
        <v>0.67862904655195588</v>
      </c>
      <c r="O42">
        <v>0.63349479088526539</v>
      </c>
      <c r="P42" s="9">
        <v>9.9177408218383799E-3</v>
      </c>
      <c r="Q42">
        <v>8.7329167127609252E-3</v>
      </c>
      <c r="R42">
        <v>2.535524442804703E-3</v>
      </c>
      <c r="S42">
        <v>1.0878066277350202E-3</v>
      </c>
      <c r="T42">
        <v>8.9124460265052694E-3</v>
      </c>
      <c r="U42">
        <v>2.5727129797509609E-3</v>
      </c>
      <c r="V42">
        <v>8.5348124007201889E-3</v>
      </c>
      <c r="W42">
        <v>2.8188691966153845E-3</v>
      </c>
      <c r="X42" s="9">
        <v>1.7452940839571666E-2</v>
      </c>
      <c r="Y42">
        <v>1.2902516313600468E-2</v>
      </c>
      <c r="Z42" s="9">
        <v>0.50436312445794229</v>
      </c>
      <c r="AA42">
        <v>0.50322558433028119</v>
      </c>
      <c r="AB42" s="9">
        <v>6.2943220138549803E-3</v>
      </c>
      <c r="AC42">
        <v>-5.6981403205004451E-2</v>
      </c>
      <c r="AD42">
        <v>-5.6364886194206543E-2</v>
      </c>
      <c r="AE42" s="15">
        <v>0.48730041963080178</v>
      </c>
      <c r="AF42" s="15" t="b">
        <v>0</v>
      </c>
      <c r="AG42">
        <v>0.12906426170035978</v>
      </c>
      <c r="AH42">
        <v>-3.7092189312627477E-3</v>
      </c>
      <c r="AI42">
        <v>-3.6608113451256021E-3</v>
      </c>
      <c r="AJ42">
        <v>-7.8508312081235431E-6</v>
      </c>
      <c r="AK42">
        <v>-2.882573945608566E-5</v>
      </c>
      <c r="AL42">
        <v>-2.6592106986239867E-5</v>
      </c>
      <c r="AM42">
        <v>-2.1058567408291827E-5</v>
      </c>
      <c r="AN42">
        <v>-1.7472674862549837E-5</v>
      </c>
      <c r="AO42">
        <v>-7.8508312081235431E-6</v>
      </c>
      <c r="AP42">
        <v>-2.882573945608566E-5</v>
      </c>
      <c r="AQ42">
        <v>-2.6592106986239867E-5</v>
      </c>
      <c r="AR42">
        <v>-4.4749737886304195E-4</v>
      </c>
      <c r="AS42">
        <v>-1.6430671489968825E-3</v>
      </c>
      <c r="AT42">
        <v>-1.5157500982156723E-3</v>
      </c>
      <c r="AU42">
        <v>-3.1403324832494174E-4</v>
      </c>
      <c r="AV42">
        <v>-1.1530295782434265E-3</v>
      </c>
      <c r="AW42">
        <v>-1.0636842794495946E-3</v>
      </c>
      <c r="AX42">
        <v>-3.7092189312627477E-3</v>
      </c>
      <c r="AY42">
        <v>-3.6608113451256021E-3</v>
      </c>
      <c r="AZ42">
        <v>-2.1752669933220435E-3</v>
      </c>
      <c r="BA42">
        <v>-2.146878422493015E-3</v>
      </c>
      <c r="BB42">
        <v>-2.5171837067753033E-3</v>
      </c>
      <c r="BC42">
        <v>-2.4843329127491706E-3</v>
      </c>
      <c r="BD42">
        <v>-2.3497708712079618E-3</v>
      </c>
      <c r="BE42">
        <v>-2.3191049175507504E-3</v>
      </c>
      <c r="BF42">
        <v>0.12906426170035978</v>
      </c>
      <c r="BG42">
        <v>6.5095254287050999E-2</v>
      </c>
      <c r="BH42">
        <v>6.4948438510319881E-2</v>
      </c>
    </row>
    <row r="43" spans="1:60" customFormat="1" x14ac:dyDescent="0.25">
      <c r="A43">
        <v>9.026548712466274E-3</v>
      </c>
      <c r="B43">
        <v>5.4731816882197624E-4</v>
      </c>
      <c r="C43">
        <v>3.6022529117695381E-3</v>
      </c>
      <c r="D43">
        <v>8.2620125460528757E-3</v>
      </c>
      <c r="E43">
        <v>1.0373585097099877E-3</v>
      </c>
      <c r="F43">
        <v>2.9286682899977577E-3</v>
      </c>
      <c r="G43">
        <v>1.1882928828138249E-3</v>
      </c>
      <c r="H43">
        <v>5.1490334239616647E-4</v>
      </c>
      <c r="I43">
        <v>9.7044365364114815E-3</v>
      </c>
      <c r="J43" s="9">
        <v>0.55369146020558124</v>
      </c>
      <c r="K43">
        <v>9.4167725337916772E-2</v>
      </c>
      <c r="L43">
        <v>0.83721379816403618</v>
      </c>
      <c r="M43" s="9">
        <v>0.63499161315640829</v>
      </c>
      <c r="N43">
        <v>0.5235245501221879</v>
      </c>
      <c r="O43">
        <v>0.6978780854105131</v>
      </c>
      <c r="P43" s="9">
        <v>7.1235179901123049E-3</v>
      </c>
      <c r="Q43">
        <v>1.8470305204391479E-3</v>
      </c>
      <c r="R43">
        <v>3.9314021695105589E-3</v>
      </c>
      <c r="S43">
        <v>9.0288259807340294E-3</v>
      </c>
      <c r="T43">
        <v>1.6072822592829872E-3</v>
      </c>
      <c r="U43">
        <v>7.600147847948358E-3</v>
      </c>
      <c r="V43">
        <v>8.0218687795351653E-3</v>
      </c>
      <c r="W43">
        <v>3.0730185554500573E-3</v>
      </c>
      <c r="X43" s="9">
        <v>1.0461377117406918E-2</v>
      </c>
      <c r="Y43">
        <v>1.3703715583721684E-2</v>
      </c>
      <c r="Z43" s="9">
        <v>0.50261532042758328</v>
      </c>
      <c r="AA43">
        <v>0.50342587528348515</v>
      </c>
      <c r="AB43" s="9">
        <v>8.4900933504104617E-3</v>
      </c>
      <c r="AC43">
        <v>-5.5296151579827466E-2</v>
      </c>
      <c r="AD43">
        <v>-5.4354901182110761E-2</v>
      </c>
      <c r="AE43" s="15">
        <v>0.48833555094361009</v>
      </c>
      <c r="AF43" s="15" t="b">
        <v>0</v>
      </c>
      <c r="AG43">
        <v>0.1286188412210062</v>
      </c>
      <c r="AH43">
        <v>-3.5746639609594739E-3</v>
      </c>
      <c r="AI43">
        <v>-3.5194827171120945E-3</v>
      </c>
      <c r="AJ43">
        <v>-2.9101817169416486E-5</v>
      </c>
      <c r="AK43">
        <v>-1.7011450166250797E-5</v>
      </c>
      <c r="AL43">
        <v>-2.7559848283460509E-5</v>
      </c>
      <c r="AM43">
        <v>-1.8972811474626441E-5</v>
      </c>
      <c r="AN43">
        <v>-2.1444753803837313E-5</v>
      </c>
      <c r="AO43">
        <v>-2.9101817169416486E-5</v>
      </c>
      <c r="AP43">
        <v>-1.7011450166250797E-5</v>
      </c>
      <c r="AQ43">
        <v>-2.7559848283460509E-5</v>
      </c>
      <c r="AR43">
        <v>-1.6297017614873232E-3</v>
      </c>
      <c r="AS43">
        <v>-9.5264120931004461E-4</v>
      </c>
      <c r="AT43">
        <v>-1.5433515038737885E-3</v>
      </c>
      <c r="AU43">
        <v>-2.0080253846897376E-3</v>
      </c>
      <c r="AV43">
        <v>-1.1737900614713049E-3</v>
      </c>
      <c r="AW43">
        <v>-1.901629531558775E-3</v>
      </c>
      <c r="AX43">
        <v>-3.5746639609594739E-3</v>
      </c>
      <c r="AY43">
        <v>-3.5194827171120945E-3</v>
      </c>
      <c r="AZ43">
        <v>-2.2698816350617324E-3</v>
      </c>
      <c r="BA43">
        <v>-2.234842008015108E-3</v>
      </c>
      <c r="BB43">
        <v>-1.8714243419993069E-3</v>
      </c>
      <c r="BC43">
        <v>-1.8425356061389248E-3</v>
      </c>
      <c r="BD43">
        <v>-2.494679641060359E-3</v>
      </c>
      <c r="BE43">
        <v>-2.4561698602535791E-3</v>
      </c>
      <c r="BF43">
        <v>0.1286188412210062</v>
      </c>
      <c r="BG43">
        <v>6.464580009332048E-2</v>
      </c>
      <c r="BH43">
        <v>6.4750052719632648E-2</v>
      </c>
    </row>
    <row r="44" spans="1:60" customFormat="1" x14ac:dyDescent="0.25">
      <c r="A44">
        <v>3.0758268018160192E-3</v>
      </c>
      <c r="B44">
        <v>5.0710390180914349E-3</v>
      </c>
      <c r="C44">
        <v>1.9234054060958052E-3</v>
      </c>
      <c r="D44">
        <v>2.1825130144050098E-3</v>
      </c>
      <c r="E44">
        <v>5.8129635443350709E-4</v>
      </c>
      <c r="F44">
        <v>1.6355523845844916E-3</v>
      </c>
      <c r="G44">
        <v>6.0883347209739567E-3</v>
      </c>
      <c r="H44">
        <v>9.3539597484456824E-3</v>
      </c>
      <c r="I44">
        <v>1.8474180287688E-3</v>
      </c>
      <c r="J44" s="9">
        <v>0.46750740435296101</v>
      </c>
      <c r="K44">
        <v>0.57724681850404991</v>
      </c>
      <c r="L44">
        <v>0.19248682268849526</v>
      </c>
      <c r="M44" s="9">
        <v>0.6147936230105272</v>
      </c>
      <c r="N44">
        <v>0.64043365356952575</v>
      </c>
      <c r="O44">
        <v>0.54797367363821503</v>
      </c>
      <c r="P44" s="9">
        <v>2.8603315353393556E-3</v>
      </c>
      <c r="Q44">
        <v>7.649285197257996E-3</v>
      </c>
      <c r="R44">
        <v>2.6243846064437429E-3</v>
      </c>
      <c r="S44">
        <v>4.0400503491106474E-4</v>
      </c>
      <c r="T44">
        <v>9.9564364206934566E-4</v>
      </c>
      <c r="U44">
        <v>3.5614009663194526E-3</v>
      </c>
      <c r="V44">
        <v>2.8330790899751658E-3</v>
      </c>
      <c r="W44">
        <v>5.4328917215668146E-3</v>
      </c>
      <c r="X44" s="9">
        <v>5.1114301510517008E-3</v>
      </c>
      <c r="Y44">
        <v>1.3155587584217086E-2</v>
      </c>
      <c r="Z44" s="9">
        <v>0.50127785475558484</v>
      </c>
      <c r="AA44">
        <v>0.50328884946290098</v>
      </c>
      <c r="AB44" s="9">
        <v>1.0444772243499757E-3</v>
      </c>
      <c r="AC44">
        <v>-5.853945788390915E-2</v>
      </c>
      <c r="AD44">
        <v>-5.8059234370785459E-2</v>
      </c>
      <c r="AE44" s="15">
        <v>0.48562380808608868</v>
      </c>
      <c r="AF44" s="15" t="b">
        <v>0</v>
      </c>
      <c r="AG44">
        <v>0.1290745048348042</v>
      </c>
      <c r="AH44">
        <v>-3.787631178439652E-3</v>
      </c>
      <c r="AI44">
        <v>-3.7716299928529855E-3</v>
      </c>
      <c r="AJ44">
        <v>-7.0479685596725536E-6</v>
      </c>
      <c r="AK44">
        <v>-1.1017647589027744E-5</v>
      </c>
      <c r="AL44">
        <v>-1.710856885039619E-5</v>
      </c>
      <c r="AM44">
        <v>-2.5382068652961845E-6</v>
      </c>
      <c r="AN44">
        <v>-1.0299390733699662E-5</v>
      </c>
      <c r="AO44">
        <v>-7.0479685596725536E-6</v>
      </c>
      <c r="AP44">
        <v>-1.1017647589027744E-5</v>
      </c>
      <c r="AQ44">
        <v>-1.710856885039619E-5</v>
      </c>
      <c r="AR44">
        <v>-3.5944639654330023E-4</v>
      </c>
      <c r="AS44">
        <v>-5.6190002704041499E-4</v>
      </c>
      <c r="AT44">
        <v>-8.7253701137020572E-4</v>
      </c>
      <c r="AU44">
        <v>-4.0878217646100808E-4</v>
      </c>
      <c r="AV44">
        <v>-6.3902356016360914E-4</v>
      </c>
      <c r="AW44">
        <v>-9.9229699332297893E-4</v>
      </c>
      <c r="AX44">
        <v>-3.787631178439652E-3</v>
      </c>
      <c r="AY44">
        <v>-3.7716299928529855E-3</v>
      </c>
      <c r="AZ44">
        <v>-2.3286114948205465E-3</v>
      </c>
      <c r="BA44">
        <v>-2.3187740679612556E-3</v>
      </c>
      <c r="BB44">
        <v>-2.4257264739819548E-3</v>
      </c>
      <c r="BC44">
        <v>-2.4154787762352419E-3</v>
      </c>
      <c r="BD44">
        <v>-2.0755221712362177E-3</v>
      </c>
      <c r="BE44">
        <v>-2.0667539427877252E-3</v>
      </c>
      <c r="BF44">
        <v>0.1290745048348042</v>
      </c>
      <c r="BG44">
        <v>6.4702190887230018E-2</v>
      </c>
      <c r="BH44">
        <v>6.4961759033302258E-2</v>
      </c>
    </row>
    <row r="45" spans="1:60" customFormat="1" x14ac:dyDescent="0.25">
      <c r="A45">
        <v>1.337424787230456E-3</v>
      </c>
      <c r="B45">
        <v>9.2572123776509755E-3</v>
      </c>
      <c r="C45">
        <v>6.7941668360519975E-3</v>
      </c>
      <c r="D45">
        <v>2.0925752027977727E-3</v>
      </c>
      <c r="E45">
        <v>6.3857202846837064E-3</v>
      </c>
      <c r="F45">
        <v>8.8832286867158473E-3</v>
      </c>
      <c r="G45">
        <v>4.3728807127698093E-3</v>
      </c>
      <c r="H45">
        <v>1.046604084824326E-3</v>
      </c>
      <c r="I45">
        <v>5.2605882097269364E-3</v>
      </c>
      <c r="J45" s="9">
        <v>0.26089431294580506</v>
      </c>
      <c r="K45">
        <v>0.24792600473525683</v>
      </c>
      <c r="L45">
        <v>0.51001749687523956</v>
      </c>
      <c r="M45" s="9">
        <v>0.56485612101204985</v>
      </c>
      <c r="N45">
        <v>0.56166595430981126</v>
      </c>
      <c r="O45">
        <v>0.6248105761354743</v>
      </c>
      <c r="P45" s="9">
        <v>1.9768142700195314E-3</v>
      </c>
      <c r="Q45">
        <v>6.5937823057174681E-3</v>
      </c>
      <c r="R45">
        <v>1.7646642762237162E-3</v>
      </c>
      <c r="S45">
        <v>9.3466045311634792E-3</v>
      </c>
      <c r="T45">
        <v>9.5482366331512483E-3</v>
      </c>
      <c r="U45">
        <v>7.4702031767381258E-3</v>
      </c>
      <c r="V45">
        <v>6.9828805233901978E-3</v>
      </c>
      <c r="W45">
        <v>7.8451458358392407E-4</v>
      </c>
      <c r="X45" s="9">
        <v>8.3365151285105903E-3</v>
      </c>
      <c r="Y45">
        <v>1.6559200890930676E-2</v>
      </c>
      <c r="Z45" s="9">
        <v>0.50208411671206921</v>
      </c>
      <c r="AA45">
        <v>0.50413970562843025</v>
      </c>
      <c r="AB45" s="9">
        <v>5.1544368267059332E-4</v>
      </c>
      <c r="AC45">
        <v>-5.4352568325814345E-2</v>
      </c>
      <c r="AD45">
        <v>-5.4988273428753474E-2</v>
      </c>
      <c r="AE45" s="15">
        <v>0.48637939831841254</v>
      </c>
      <c r="AF45" s="15" t="b">
        <v>0</v>
      </c>
      <c r="AG45">
        <v>0.12910844091312204</v>
      </c>
      <c r="AH45">
        <v>-3.5233127073395713E-3</v>
      </c>
      <c r="AI45">
        <v>-3.5791147596077816E-3</v>
      </c>
      <c r="AJ45">
        <v>-2.2407861694159146E-5</v>
      </c>
      <c r="AK45">
        <v>-3.3912344448332185E-5</v>
      </c>
      <c r="AL45">
        <v>-1.7126519881266656E-5</v>
      </c>
      <c r="AM45">
        <v>-1.2467510228600775E-5</v>
      </c>
      <c r="AN45">
        <v>-1.006088728515486E-5</v>
      </c>
      <c r="AO45">
        <v>-2.2407861694159146E-5</v>
      </c>
      <c r="AP45">
        <v>-3.3912344448332185E-5</v>
      </c>
      <c r="AQ45">
        <v>-1.7126519881266656E-5</v>
      </c>
      <c r="AR45">
        <v>-6.7223585082477433E-4</v>
      </c>
      <c r="AS45">
        <v>-1.0173703334499656E-3</v>
      </c>
      <c r="AT45">
        <v>-5.1379559643799973E-4</v>
      </c>
      <c r="AU45">
        <v>-1.0083537762371616E-3</v>
      </c>
      <c r="AV45">
        <v>-1.5260555001749482E-3</v>
      </c>
      <c r="AW45">
        <v>-7.7069339465699949E-4</v>
      </c>
      <c r="AX45">
        <v>-3.5233127073395713E-3</v>
      </c>
      <c r="AY45">
        <v>-3.5791147596077816E-3</v>
      </c>
      <c r="AZ45">
        <v>-1.990164748980294E-3</v>
      </c>
      <c r="BA45">
        <v>-2.0216848797690269E-3</v>
      </c>
      <c r="BB45">
        <v>-1.9789247940997651E-3</v>
      </c>
      <c r="BC45">
        <v>-2.0102669070394355E-3</v>
      </c>
      <c r="BD45">
        <v>-2.2014030425782753E-3</v>
      </c>
      <c r="BE45">
        <v>-2.2362687550055178E-3</v>
      </c>
      <c r="BF45">
        <v>0.12910844091312204</v>
      </c>
      <c r="BG45">
        <v>6.4823297515937253E-2</v>
      </c>
      <c r="BH45">
        <v>6.5088691396086931E-2</v>
      </c>
    </row>
    <row r="46" spans="1:60" customFormat="1" x14ac:dyDescent="0.25">
      <c r="A46">
        <v>6.5529385146235993E-3</v>
      </c>
      <c r="B46">
        <v>1.6534883686279056E-3</v>
      </c>
      <c r="C46">
        <v>2.3566246265910224E-3</v>
      </c>
      <c r="D46">
        <v>6.5138668728146514E-3</v>
      </c>
      <c r="E46">
        <v>1.4956945157416951E-3</v>
      </c>
      <c r="F46">
        <v>2.8111709899198102E-3</v>
      </c>
      <c r="G46">
        <v>2.3427440674181777E-3</v>
      </c>
      <c r="H46">
        <v>7.0498571928329255E-3</v>
      </c>
      <c r="I46">
        <v>8.7283405684925978E-3</v>
      </c>
      <c r="J46" s="9">
        <v>0.37144616563227051</v>
      </c>
      <c r="K46">
        <v>0.50220226772941112</v>
      </c>
      <c r="L46">
        <v>0.65373906367747103</v>
      </c>
      <c r="M46" s="9">
        <v>0.59180837676048281</v>
      </c>
      <c r="N46">
        <v>0.62297673254735753</v>
      </c>
      <c r="O46">
        <v>0.65785255677695198</v>
      </c>
      <c r="P46" s="9">
        <v>6.3528490066528318E-3</v>
      </c>
      <c r="Q46">
        <v>8.040873408317566E-3</v>
      </c>
      <c r="R46">
        <v>8.9689864297667569E-3</v>
      </c>
      <c r="S46">
        <v>9.5963344069897854E-3</v>
      </c>
      <c r="T46">
        <v>1.5445097691531615E-4</v>
      </c>
      <c r="U46">
        <v>6.9041196490851036E-3</v>
      </c>
      <c r="V46">
        <v>1.7773850021825033E-3</v>
      </c>
      <c r="W46">
        <v>2.4771926619754575E-3</v>
      </c>
      <c r="X46" s="9">
        <v>1.1756989671777346E-2</v>
      </c>
      <c r="Y46">
        <v>1.9650797922981664E-2</v>
      </c>
      <c r="Z46" s="9">
        <v>0.50293921356151372</v>
      </c>
      <c r="AA46">
        <v>0.50491254139869457</v>
      </c>
      <c r="AB46" s="9">
        <v>7.5624108314514158E-3</v>
      </c>
      <c r="AC46">
        <v>-6.2053323403646901E-2</v>
      </c>
      <c r="AD46">
        <v>-5.3634299742955915E-2</v>
      </c>
      <c r="AE46" s="15">
        <v>0.48732090140644801</v>
      </c>
      <c r="AF46" s="15" t="b">
        <v>0</v>
      </c>
      <c r="AG46">
        <v>0.12909306712920265</v>
      </c>
      <c r="AH46">
        <v>-4.0288719442826597E-3</v>
      </c>
      <c r="AI46">
        <v>-3.4959216625727726E-3</v>
      </c>
      <c r="AJ46">
        <v>-4.1238942360092284E-5</v>
      </c>
      <c r="AK46">
        <v>-1.5423984789082995E-5</v>
      </c>
      <c r="AL46">
        <v>-1.0407837974097491E-5</v>
      </c>
      <c r="AM46">
        <v>-1.0591441150943445E-5</v>
      </c>
      <c r="AN46">
        <v>-1.8956309253618027E-5</v>
      </c>
      <c r="AO46">
        <v>-4.1238942360092284E-5</v>
      </c>
      <c r="AP46">
        <v>-1.5423984789082995E-5</v>
      </c>
      <c r="AQ46">
        <v>-1.0407837974097491E-5</v>
      </c>
      <c r="AR46">
        <v>-1.3608850978830455E-3</v>
      </c>
      <c r="AS46">
        <v>-5.0899149803973888E-4</v>
      </c>
      <c r="AT46">
        <v>-3.4345865314521721E-4</v>
      </c>
      <c r="AU46">
        <v>-2.6392923110459062E-3</v>
      </c>
      <c r="AV46">
        <v>-9.8713502650131166E-4</v>
      </c>
      <c r="AW46">
        <v>-6.6610163034223945E-4</v>
      </c>
      <c r="AX46">
        <v>-4.0288719442826597E-3</v>
      </c>
      <c r="AY46">
        <v>-3.4959216625727726E-3</v>
      </c>
      <c r="AZ46">
        <v>-2.3843201655217713E-3</v>
      </c>
      <c r="BA46">
        <v>-2.0689157244090008E-3</v>
      </c>
      <c r="BB46">
        <v>-2.5098934797009309E-3</v>
      </c>
      <c r="BC46">
        <v>-2.1778778545911118E-3</v>
      </c>
      <c r="BD46">
        <v>-2.6504037094732774E-3</v>
      </c>
      <c r="BE46">
        <v>-2.2998010040154314E-3</v>
      </c>
      <c r="BF46">
        <v>0.12909306712920265</v>
      </c>
      <c r="BG46">
        <v>6.4925965658204882E-2</v>
      </c>
      <c r="BH46">
        <v>6.5180708601157988E-2</v>
      </c>
    </row>
    <row r="47" spans="1:60" customFormat="1" x14ac:dyDescent="0.25">
      <c r="A47">
        <v>6.8350608420337054E-3</v>
      </c>
      <c r="B47">
        <v>6.1034848099754072E-3</v>
      </c>
      <c r="C47">
        <v>2.4619683058189779E-3</v>
      </c>
      <c r="D47">
        <v>7.5986463521407702E-3</v>
      </c>
      <c r="E47">
        <v>7.835497821335996E-3</v>
      </c>
      <c r="F47">
        <v>1.1051739637846269E-4</v>
      </c>
      <c r="G47">
        <v>8.5733203766457638E-3</v>
      </c>
      <c r="H47">
        <v>4.4695219772436208E-3</v>
      </c>
      <c r="I47">
        <v>4.7677596641410318E-4</v>
      </c>
      <c r="J47" s="9">
        <v>0.89084267846606147</v>
      </c>
      <c r="K47">
        <v>0.6335488196482586</v>
      </c>
      <c r="L47">
        <v>3.8204654167009577E-2</v>
      </c>
      <c r="M47" s="9">
        <v>0.70906404120405908</v>
      </c>
      <c r="N47">
        <v>0.65329371020449756</v>
      </c>
      <c r="O47">
        <v>0.50955000197493716</v>
      </c>
      <c r="P47" s="9">
        <v>9.8995685577392585E-3</v>
      </c>
      <c r="Q47">
        <v>5.2571600675582883E-3</v>
      </c>
      <c r="R47">
        <v>8.3838883874480224E-3</v>
      </c>
      <c r="S47">
        <v>8.51958591923093E-4</v>
      </c>
      <c r="T47">
        <v>8.6069943818479714E-3</v>
      </c>
      <c r="U47">
        <v>6.8509487780440449E-3</v>
      </c>
      <c r="V47">
        <v>7.3880542720484209E-3</v>
      </c>
      <c r="W47">
        <v>2.2851602562160068E-3</v>
      </c>
      <c r="X47" s="9">
        <v>2.1467177632173661E-2</v>
      </c>
      <c r="Y47">
        <v>1.1501338428383074E-2</v>
      </c>
      <c r="Z47" s="9">
        <v>0.50536658831487369</v>
      </c>
      <c r="AA47">
        <v>0.50287530291155491</v>
      </c>
      <c r="AB47" s="9">
        <v>5.8166366815567017E-3</v>
      </c>
      <c r="AC47">
        <v>-5.4354808779149832E-2</v>
      </c>
      <c r="AD47">
        <v>-5.8168968276117859E-2</v>
      </c>
      <c r="AE47" s="15">
        <v>0.48727669602429469</v>
      </c>
      <c r="AF47" s="15" t="b">
        <v>0</v>
      </c>
      <c r="AG47">
        <v>0.12915359342276744</v>
      </c>
      <c r="AH47">
        <v>-3.5477335247335656E-3</v>
      </c>
      <c r="AI47">
        <v>-3.7779670173967521E-3</v>
      </c>
      <c r="AJ47">
        <v>-2.3372504568897883E-5</v>
      </c>
      <c r="AK47">
        <v>-3.6857512153909034E-5</v>
      </c>
      <c r="AL47">
        <v>-1.7754815249742571E-5</v>
      </c>
      <c r="AM47">
        <v>-2.0139418454927787E-5</v>
      </c>
      <c r="AN47">
        <v>-2.4282732465640907E-5</v>
      </c>
      <c r="AO47">
        <v>-2.3372504568897883E-5</v>
      </c>
      <c r="AP47">
        <v>-3.6857512153909034E-5</v>
      </c>
      <c r="AQ47">
        <v>-1.7754815249742571E-5</v>
      </c>
      <c r="AR47">
        <v>-1.0050176964626089E-3</v>
      </c>
      <c r="AS47">
        <v>-1.5848730226180885E-3</v>
      </c>
      <c r="AT47">
        <v>-7.6345705573893055E-4</v>
      </c>
      <c r="AU47">
        <v>-1.5192127969783625E-3</v>
      </c>
      <c r="AV47">
        <v>-2.3957382900040873E-3</v>
      </c>
      <c r="AW47">
        <v>-1.1540629912332671E-3</v>
      </c>
      <c r="AX47">
        <v>-3.5477335247335656E-3</v>
      </c>
      <c r="AY47">
        <v>-3.7779670173967521E-3</v>
      </c>
      <c r="AZ47">
        <v>-2.5155702701627025E-3</v>
      </c>
      <c r="BA47">
        <v>-2.678820560890987E-3</v>
      </c>
      <c r="BB47">
        <v>-2.3177119971900706E-3</v>
      </c>
      <c r="BC47">
        <v>-2.4681220898253439E-3</v>
      </c>
      <c r="BD47">
        <v>-1.8077476245345391E-3</v>
      </c>
      <c r="BE47">
        <v>-1.9250631011757625E-3</v>
      </c>
      <c r="BF47">
        <v>0.12915359342276744</v>
      </c>
      <c r="BG47">
        <v>6.5269910876670292E-2</v>
      </c>
      <c r="BH47">
        <v>6.4948152414589982E-2</v>
      </c>
    </row>
    <row r="48" spans="1:60" customFormat="1" x14ac:dyDescent="0.25">
      <c r="A48">
        <v>3.4433952983431997E-3</v>
      </c>
      <c r="B48">
        <v>8.9604672736099018E-3</v>
      </c>
      <c r="C48">
        <v>7.7805385177070665E-3</v>
      </c>
      <c r="D48">
        <v>4.5292638534740696E-3</v>
      </c>
      <c r="E48">
        <v>6.2195575597248252E-3</v>
      </c>
      <c r="F48">
        <v>9.3100094846887815E-3</v>
      </c>
      <c r="G48">
        <v>2.5230664787911482E-3</v>
      </c>
      <c r="H48">
        <v>4.7209892090351513E-3</v>
      </c>
      <c r="I48">
        <v>4.4981995093095967E-3</v>
      </c>
      <c r="J48" s="9">
        <v>0.34648451510054773</v>
      </c>
      <c r="K48">
        <v>0.54032626973381359</v>
      </c>
      <c r="L48">
        <v>0.67988457971431804</v>
      </c>
      <c r="M48" s="9">
        <v>0.58576482419902054</v>
      </c>
      <c r="N48">
        <v>0.63188831312700922</v>
      </c>
      <c r="O48">
        <v>0.66371293630563677</v>
      </c>
      <c r="P48" s="9">
        <v>3.5593557357788087E-3</v>
      </c>
      <c r="Q48">
        <v>4.1549384593963623E-4</v>
      </c>
      <c r="R48">
        <v>9.8368286344856313E-3</v>
      </c>
      <c r="S48">
        <v>3.008982940564859E-3</v>
      </c>
      <c r="T48">
        <v>2.4854399932114539E-3</v>
      </c>
      <c r="U48">
        <v>3.4991889748042793E-3</v>
      </c>
      <c r="V48">
        <v>1.8335321729976142E-3</v>
      </c>
      <c r="W48">
        <v>4.1042245050521347E-3</v>
      </c>
      <c r="X48" s="9">
        <v>1.0891944416222966E-2</v>
      </c>
      <c r="Y48">
        <v>7.113173725244868E-3</v>
      </c>
      <c r="Z48" s="9">
        <v>0.50272295918437782</v>
      </c>
      <c r="AA48">
        <v>0.50177828593328744</v>
      </c>
      <c r="AB48" s="9">
        <v>8.4743893146514895E-3</v>
      </c>
      <c r="AC48">
        <v>-6.1113011516138516E-2</v>
      </c>
      <c r="AD48">
        <v>-5.8541363155976418E-2</v>
      </c>
      <c r="AE48" s="15">
        <v>0.48709703798408066</v>
      </c>
      <c r="AF48" s="15" t="b">
        <v>0</v>
      </c>
      <c r="AG48">
        <v>0.12871714024238012</v>
      </c>
      <c r="AH48">
        <v>-3.9545656292282764E-3</v>
      </c>
      <c r="AI48">
        <v>-3.7810383024921034E-3</v>
      </c>
      <c r="AJ48">
        <v>-2.9450769959755727E-5</v>
      </c>
      <c r="AK48">
        <v>-1.4570967334193044E-5</v>
      </c>
      <c r="AL48">
        <v>-1.5112115267144113E-5</v>
      </c>
      <c r="AM48">
        <v>-1.7870751502777955E-5</v>
      </c>
      <c r="AN48">
        <v>-1.0131501095485237E-5</v>
      </c>
      <c r="AO48">
        <v>-2.9450769959755727E-5</v>
      </c>
      <c r="AP48">
        <v>-1.4570967334193044E-5</v>
      </c>
      <c r="AQ48">
        <v>-1.5112115267144113E-5</v>
      </c>
      <c r="AR48">
        <v>-1.4430877280280307E-3</v>
      </c>
      <c r="AS48">
        <v>-7.1397739937545911E-4</v>
      </c>
      <c r="AT48">
        <v>-7.404936480900616E-4</v>
      </c>
      <c r="AU48">
        <v>-1.4136369580682749E-3</v>
      </c>
      <c r="AV48">
        <v>-6.9940643204126612E-4</v>
      </c>
      <c r="AW48">
        <v>-7.253815328229175E-4</v>
      </c>
      <c r="AX48">
        <v>-3.9545656292282764E-3</v>
      </c>
      <c r="AY48">
        <v>-3.7810383024921034E-3</v>
      </c>
      <c r="AZ48">
        <v>-2.3164454405883903E-3</v>
      </c>
      <c r="BA48">
        <v>-2.2147992365490498E-3</v>
      </c>
      <c r="BB48">
        <v>-2.4988438046031052E-3</v>
      </c>
      <c r="BC48">
        <v>-2.3891939148303456E-3</v>
      </c>
      <c r="BD48">
        <v>-2.6246963655884472E-3</v>
      </c>
      <c r="BE48">
        <v>-2.5095240340311143E-3</v>
      </c>
      <c r="BF48">
        <v>0.12871714024238012</v>
      </c>
      <c r="BG48">
        <v>6.4709061640399898E-2</v>
      </c>
      <c r="BH48">
        <v>6.4587466001056068E-2</v>
      </c>
    </row>
    <row r="49" spans="1:60" customFormat="1" x14ac:dyDescent="0.25">
      <c r="A49">
        <v>5.7226823669786337E-4</v>
      </c>
      <c r="B49">
        <v>3.2223607211924478E-3</v>
      </c>
      <c r="C49">
        <v>2.4190160339353319E-3</v>
      </c>
      <c r="D49">
        <v>5.2211095500449695E-3</v>
      </c>
      <c r="E49">
        <v>9.7774788126026857E-3</v>
      </c>
      <c r="F49">
        <v>3.5426885099325116E-3</v>
      </c>
      <c r="G49">
        <v>8.945888873103559E-3</v>
      </c>
      <c r="H49">
        <v>4.6349848338890576E-3</v>
      </c>
      <c r="I49">
        <v>6.1800049533725894E-3</v>
      </c>
      <c r="J49" s="9">
        <v>0.70144053825919239</v>
      </c>
      <c r="K49">
        <v>0.64924567908919806</v>
      </c>
      <c r="L49">
        <v>0.48402682886672821</v>
      </c>
      <c r="M49" s="9">
        <v>0.66850708062713515</v>
      </c>
      <c r="N49">
        <v>0.65684045805351343</v>
      </c>
      <c r="O49">
        <v>0.61869829983854363</v>
      </c>
      <c r="P49" s="9">
        <v>3.0584335327148436E-4</v>
      </c>
      <c r="Q49">
        <v>9.5949763059616083E-3</v>
      </c>
      <c r="R49">
        <v>9.0165222616237425E-3</v>
      </c>
      <c r="S49">
        <v>1.2670055635095819E-4</v>
      </c>
      <c r="T49">
        <v>1.6859151341273543E-3</v>
      </c>
      <c r="U49">
        <v>8.7529663566881643E-3</v>
      </c>
      <c r="V49">
        <v>2.1899993260289337E-3</v>
      </c>
      <c r="W49">
        <v>9.4116821336228829E-3</v>
      </c>
      <c r="X49" s="9">
        <v>7.4408295967387083E-3</v>
      </c>
      <c r="Y49">
        <v>2.1251970690748943E-2</v>
      </c>
      <c r="Z49" s="9">
        <v>0.50186019881655386</v>
      </c>
      <c r="AA49">
        <v>0.50531279271561313</v>
      </c>
      <c r="AB49" s="9">
        <v>5.7501024007797245E-3</v>
      </c>
      <c r="AC49">
        <v>-6.0862042049724153E-2</v>
      </c>
      <c r="AD49">
        <v>-6.3241516973473327E-2</v>
      </c>
      <c r="AE49" s="15">
        <v>0.48581608617567773</v>
      </c>
      <c r="AF49" s="15" t="b">
        <v>0</v>
      </c>
      <c r="AG49">
        <v>0.129363850385109</v>
      </c>
      <c r="AH49">
        <v>-3.9513200437477471E-3</v>
      </c>
      <c r="AI49">
        <v>-4.1340479098150628E-3</v>
      </c>
      <c r="AJ49">
        <v>-2.4167166920408198E-5</v>
      </c>
      <c r="AK49">
        <v>-2.8143493696745172E-5</v>
      </c>
      <c r="AL49">
        <v>-2.9426363397113378E-5</v>
      </c>
      <c r="AM49">
        <v>-2.0224011153370777E-5</v>
      </c>
      <c r="AN49">
        <v>-2.9067309021227665E-5</v>
      </c>
      <c r="AO49">
        <v>-2.4167166920408198E-5</v>
      </c>
      <c r="AP49">
        <v>-2.8143493696745172E-5</v>
      </c>
      <c r="AQ49">
        <v>-2.9426363397113378E-5</v>
      </c>
      <c r="AR49">
        <v>-9.6668667681632794E-4</v>
      </c>
      <c r="AS49">
        <v>-1.1257397478698068E-3</v>
      </c>
      <c r="AT49">
        <v>-1.1770545358845352E-3</v>
      </c>
      <c r="AU49">
        <v>-1.3291941806224509E-3</v>
      </c>
      <c r="AV49">
        <v>-1.5478921533209845E-3</v>
      </c>
      <c r="AW49">
        <v>-1.6184499868412358E-3</v>
      </c>
      <c r="AX49">
        <v>-3.9513200437477471E-3</v>
      </c>
      <c r="AY49">
        <v>-4.1340479098150628E-3</v>
      </c>
      <c r="AZ49">
        <v>-2.6414854270692904E-3</v>
      </c>
      <c r="BA49">
        <v>-2.7636402993631778E-3</v>
      </c>
      <c r="BB49">
        <v>-2.595386867451299E-3</v>
      </c>
      <c r="BC49">
        <v>-2.7154099226980957E-3</v>
      </c>
      <c r="BD49">
        <v>-2.4446749931846912E-3</v>
      </c>
      <c r="BE49">
        <v>-2.5577284132536644E-3</v>
      </c>
      <c r="BF49">
        <v>0.129363850385109</v>
      </c>
      <c r="BG49">
        <v>6.4922567673945733E-2</v>
      </c>
      <c r="BH49">
        <v>6.5369208514544169E-2</v>
      </c>
    </row>
    <row r="50" spans="1:60" customFormat="1" x14ac:dyDescent="0.25">
      <c r="A50">
        <v>2.1337889390930539E-3</v>
      </c>
      <c r="B50">
        <v>2.5126490168837457E-3</v>
      </c>
      <c r="C50">
        <v>9.5153074982093737E-3</v>
      </c>
      <c r="D50">
        <v>8.4491279158711886E-3</v>
      </c>
      <c r="E50">
        <v>8.5988715978258697E-3</v>
      </c>
      <c r="F50">
        <v>6.531847442220625E-3</v>
      </c>
      <c r="G50">
        <v>9.5219697381347754E-3</v>
      </c>
      <c r="H50">
        <v>4.6189547845567648E-3</v>
      </c>
      <c r="I50">
        <v>3.9451907016567712E-3</v>
      </c>
      <c r="J50" s="9">
        <v>0.87520768122954018</v>
      </c>
      <c r="K50">
        <v>0.67804555944651657</v>
      </c>
      <c r="L50">
        <v>0.54099677373214872</v>
      </c>
      <c r="M50" s="9">
        <v>0.70582815152500167</v>
      </c>
      <c r="N50">
        <v>0.66330234702194635</v>
      </c>
      <c r="O50">
        <v>0.63204426222991905</v>
      </c>
      <c r="P50" s="9">
        <v>1.4391422271728516E-4</v>
      </c>
      <c r="Q50">
        <v>7.7809590101242066E-3</v>
      </c>
      <c r="R50">
        <v>6.4035317930924681E-3</v>
      </c>
      <c r="S50">
        <v>7.602530203574976E-3</v>
      </c>
      <c r="T50">
        <v>6.9951869238162314E-3</v>
      </c>
      <c r="U50">
        <v>6.8764315055024139E-3</v>
      </c>
      <c r="V50">
        <v>2.3024455813947871E-3</v>
      </c>
      <c r="W50">
        <v>2.8316268925847568E-3</v>
      </c>
      <c r="X50" s="9">
        <v>9.3036311358918565E-3</v>
      </c>
      <c r="Y50">
        <v>1.9497905537596068E-2</v>
      </c>
      <c r="Z50" s="9">
        <v>0.5023258910070445</v>
      </c>
      <c r="AA50">
        <v>0.50487432196347803</v>
      </c>
      <c r="AB50" s="9">
        <v>5.9849262237548833E-3</v>
      </c>
      <c r="AC50">
        <v>-6.2132272430482242E-2</v>
      </c>
      <c r="AD50">
        <v>-6.2759973751003936E-2</v>
      </c>
      <c r="AE50" s="15">
        <v>0.48577593350584886</v>
      </c>
      <c r="AF50" s="15" t="b">
        <v>0</v>
      </c>
      <c r="AG50">
        <v>0.12937685830759088</v>
      </c>
      <c r="AH50">
        <v>-4.0379357274545457E-3</v>
      </c>
      <c r="AI50">
        <v>-4.0994220903686493E-3</v>
      </c>
      <c r="AJ50">
        <v>-4.0248459907568136E-5</v>
      </c>
      <c r="AK50">
        <v>-3.7433806514622047E-5</v>
      </c>
      <c r="AL50">
        <v>-1.3212987129795031E-5</v>
      </c>
      <c r="AM50">
        <v>-4.1902453488044493E-5</v>
      </c>
      <c r="AN50">
        <v>-2.5547652098508046E-5</v>
      </c>
      <c r="AO50">
        <v>-4.0248459907568136E-5</v>
      </c>
      <c r="AP50">
        <v>-3.7433806514622047E-5</v>
      </c>
      <c r="AQ50">
        <v>-1.3212987129795031E-5</v>
      </c>
      <c r="AR50">
        <v>-2.2539137548238156E-3</v>
      </c>
      <c r="AS50">
        <v>-2.0962931648188347E-3</v>
      </c>
      <c r="AT50">
        <v>-7.3992727926852175E-4</v>
      </c>
      <c r="AU50">
        <v>-1.6904353161178616E-3</v>
      </c>
      <c r="AV50">
        <v>-1.5722198736141261E-3</v>
      </c>
      <c r="AW50">
        <v>-5.5494545945139126E-4</v>
      </c>
      <c r="AX50">
        <v>-4.0379357274545457E-3</v>
      </c>
      <c r="AY50">
        <v>-4.0994220903686493E-3</v>
      </c>
      <c r="AZ50">
        <v>-2.8500887104860049E-3</v>
      </c>
      <c r="BA50">
        <v>-2.8934875163656622E-3</v>
      </c>
      <c r="BB50">
        <v>-2.6783722451443706E-3</v>
      </c>
      <c r="BC50">
        <v>-2.7191562939751384E-3</v>
      </c>
      <c r="BD50">
        <v>-2.5521541077908397E-3</v>
      </c>
      <c r="BE50">
        <v>-2.5910162106760853E-3</v>
      </c>
      <c r="BF50">
        <v>0.12937685830759088</v>
      </c>
      <c r="BG50">
        <v>6.4989345625052736E-2</v>
      </c>
      <c r="BH50">
        <v>6.5319053615809919E-2</v>
      </c>
    </row>
    <row r="51" spans="1:60" customFormat="1" x14ac:dyDescent="0.25">
      <c r="A51">
        <v>1.5447533983986362E-3</v>
      </c>
      <c r="B51">
        <v>3.9868868708392924E-3</v>
      </c>
      <c r="C51">
        <v>5.3486837275052148E-3</v>
      </c>
      <c r="D51">
        <v>2.069163755578936E-3</v>
      </c>
      <c r="E51">
        <v>8.8380210390923107E-3</v>
      </c>
      <c r="F51">
        <v>9.5645891715052597E-3</v>
      </c>
      <c r="G51">
        <v>8.6445903028093962E-3</v>
      </c>
      <c r="H51">
        <v>4.5053899872255151E-3</v>
      </c>
      <c r="I51">
        <v>6.9747687376860729E-3</v>
      </c>
      <c r="J51" s="9">
        <v>0.55976377027607283</v>
      </c>
      <c r="K51">
        <v>0.60530417773193512</v>
      </c>
      <c r="L51">
        <v>0.77154453116044963</v>
      </c>
      <c r="M51" s="9">
        <v>0.63639787951999038</v>
      </c>
      <c r="N51">
        <v>0.64686887883877808</v>
      </c>
      <c r="O51">
        <v>0.68385491209776395</v>
      </c>
      <c r="P51" s="9">
        <v>5.1097011566162108E-3</v>
      </c>
      <c r="Q51">
        <v>3.8650435209274291E-3</v>
      </c>
      <c r="R51">
        <v>2.4659390240129277E-4</v>
      </c>
      <c r="S51">
        <v>5.009246317363129E-3</v>
      </c>
      <c r="T51">
        <v>3.265043155009638E-3</v>
      </c>
      <c r="U51">
        <v>7.6588320948515719E-3</v>
      </c>
      <c r="V51">
        <v>6.449219915342694E-3</v>
      </c>
      <c r="W51">
        <v>5.9528387156398393E-3</v>
      </c>
      <c r="X51" s="9">
        <v>7.3786877982482645E-3</v>
      </c>
      <c r="Y51">
        <v>1.6078055382317779E-2</v>
      </c>
      <c r="Z51" s="9">
        <v>0.5018446635801721</v>
      </c>
      <c r="AA51">
        <v>0.50401942725949578</v>
      </c>
      <c r="AB51" s="9">
        <v>2.434599995613098E-3</v>
      </c>
      <c r="AC51">
        <v>-6.2995220726973986E-2</v>
      </c>
      <c r="AD51">
        <v>-5.6821665328533819E-2</v>
      </c>
      <c r="AE51" s="15">
        <v>0.48554941579070604</v>
      </c>
      <c r="AF51" s="15" t="b">
        <v>0</v>
      </c>
      <c r="AG51">
        <v>0.12925878507463989</v>
      </c>
      <c r="AH51">
        <v>-4.086363364088165E-3</v>
      </c>
      <c r="AI51">
        <v>-3.7018711982288442E-3</v>
      </c>
      <c r="AJ51">
        <v>-1.2442378468532898E-5</v>
      </c>
      <c r="AK51">
        <v>-2.6970656263569469E-5</v>
      </c>
      <c r="AL51">
        <v>-3.3092079877974055E-5</v>
      </c>
      <c r="AM51">
        <v>-2.3224987796771821E-5</v>
      </c>
      <c r="AN51">
        <v>-2.5293520622131008E-5</v>
      </c>
      <c r="AO51">
        <v>-1.2442378468532898E-5</v>
      </c>
      <c r="AP51">
        <v>-2.6970656263569469E-5</v>
      </c>
      <c r="AQ51">
        <v>-3.3092079877974055E-5</v>
      </c>
      <c r="AR51">
        <v>-4.9769513874131589E-4</v>
      </c>
      <c r="AS51">
        <v>-1.0788262505427788E-3</v>
      </c>
      <c r="AT51">
        <v>-1.3236831951189622E-3</v>
      </c>
      <c r="AU51">
        <v>-6.8433081576930934E-4</v>
      </c>
      <c r="AV51">
        <v>-1.4833860944963209E-3</v>
      </c>
      <c r="AW51">
        <v>-1.8200643932885731E-3</v>
      </c>
      <c r="AX51">
        <v>-4.086363364088165E-3</v>
      </c>
      <c r="AY51">
        <v>-3.7018711982288442E-3</v>
      </c>
      <c r="AZ51">
        <v>-2.6005529798538828E-3</v>
      </c>
      <c r="BA51">
        <v>-2.3558629808089625E-3</v>
      </c>
      <c r="BB51">
        <v>-2.6433412878555688E-3</v>
      </c>
      <c r="BC51">
        <v>-2.3946252716038566E-3</v>
      </c>
      <c r="BD51">
        <v>-2.7944796591480351E-3</v>
      </c>
      <c r="BE51">
        <v>-2.5315428028620302E-3</v>
      </c>
      <c r="BF51">
        <v>0.12925878507463989</v>
      </c>
      <c r="BG51">
        <v>6.4867831510564425E-2</v>
      </c>
      <c r="BH51">
        <v>6.5148938821578253E-2</v>
      </c>
    </row>
    <row r="52" spans="1:60" customFormat="1" x14ac:dyDescent="0.25">
      <c r="A52">
        <v>1.2715277726803081E-3</v>
      </c>
      <c r="B52">
        <v>7.6943544161282504E-3</v>
      </c>
      <c r="C52">
        <v>7.4164044068058231E-3</v>
      </c>
      <c r="D52">
        <v>6.0327945843419595E-4</v>
      </c>
      <c r="E52">
        <v>5.5725894461535761E-3</v>
      </c>
      <c r="F52">
        <v>8.4132765112279327E-4</v>
      </c>
      <c r="G52">
        <v>1.0212407862315396E-3</v>
      </c>
      <c r="H52">
        <v>1.9589950523638414E-3</v>
      </c>
      <c r="I52">
        <v>6.5082815021866788E-3</v>
      </c>
      <c r="J52" s="9">
        <v>8.4216710383680088E-2</v>
      </c>
      <c r="K52">
        <v>0.34783323969316382</v>
      </c>
      <c r="L52">
        <v>0.41288288372748105</v>
      </c>
      <c r="M52" s="9">
        <v>0.52104174259926106</v>
      </c>
      <c r="N52">
        <v>0.58609204676126292</v>
      </c>
      <c r="O52">
        <v>0.60177893841510721</v>
      </c>
      <c r="P52" s="9">
        <v>4.2705869674682616E-3</v>
      </c>
      <c r="Q52">
        <v>5.6450814008712769E-3</v>
      </c>
      <c r="R52">
        <v>1.8738913870436349E-3</v>
      </c>
      <c r="S52">
        <v>2.5881958079330631E-3</v>
      </c>
      <c r="T52">
        <v>4.650151249189138E-3</v>
      </c>
      <c r="U52">
        <v>2.7614148315876844E-3</v>
      </c>
      <c r="V52">
        <v>4.442272002565726E-3</v>
      </c>
      <c r="W52">
        <v>3.4314242112813715E-3</v>
      </c>
      <c r="X52" s="9">
        <v>7.9723792646019288E-3</v>
      </c>
      <c r="Y52">
        <v>1.0677041544543757E-2</v>
      </c>
      <c r="Z52" s="9">
        <v>0.50199308425965283</v>
      </c>
      <c r="AA52">
        <v>0.5026692350286257</v>
      </c>
      <c r="AB52" s="9">
        <v>8.5906493663787838E-3</v>
      </c>
      <c r="AC52">
        <v>-5.5073058161107295E-2</v>
      </c>
      <c r="AD52">
        <v>-6.1051689996902428E-2</v>
      </c>
      <c r="AE52" s="15">
        <v>0.48756645098962487</v>
      </c>
      <c r="AF52" s="15" t="b">
        <v>0</v>
      </c>
      <c r="AG52">
        <v>0.12862608140265142</v>
      </c>
      <c r="AH52">
        <v>-3.5560345044455804E-3</v>
      </c>
      <c r="AI52">
        <v>-3.9473808983162889E-3</v>
      </c>
      <c r="AJ52">
        <v>-8.7952977453509301E-6</v>
      </c>
      <c r="AK52">
        <v>-1.6080287745377474E-5</v>
      </c>
      <c r="AL52">
        <v>-1.7657404173308246E-5</v>
      </c>
      <c r="AM52">
        <v>-4.5005915914052911E-6</v>
      </c>
      <c r="AN52">
        <v>-8.8579526389411189E-6</v>
      </c>
      <c r="AO52">
        <v>-8.7952977453509301E-6</v>
      </c>
      <c r="AP52">
        <v>-1.6080287745377474E-5</v>
      </c>
      <c r="AQ52">
        <v>-1.7657404173308246E-5</v>
      </c>
      <c r="AR52">
        <v>-3.6060720755938812E-4</v>
      </c>
      <c r="AS52">
        <v>-6.5929179756047643E-4</v>
      </c>
      <c r="AT52">
        <v>-7.2395357110563809E-4</v>
      </c>
      <c r="AU52">
        <v>-5.0133197148500305E-4</v>
      </c>
      <c r="AV52">
        <v>-9.1657640148651602E-4</v>
      </c>
      <c r="AW52">
        <v>-1.0064720378785701E-3</v>
      </c>
      <c r="AX52">
        <v>-3.5560345044455804E-3</v>
      </c>
      <c r="AY52">
        <v>-3.9473808983162889E-3</v>
      </c>
      <c r="AZ52">
        <v>-1.852842414939425E-3</v>
      </c>
      <c r="BA52">
        <v>-2.0567502219617558E-3</v>
      </c>
      <c r="BB52">
        <v>-2.0841635410641835E-3</v>
      </c>
      <c r="BC52">
        <v>-2.3135285500405062E-3</v>
      </c>
      <c r="BD52">
        <v>-2.1399466690527531E-3</v>
      </c>
      <c r="BE52">
        <v>-2.3754506865088488E-3</v>
      </c>
      <c r="BF52">
        <v>0.12862608140265142</v>
      </c>
      <c r="BG52">
        <v>6.4569403319550162E-2</v>
      </c>
      <c r="BH52">
        <v>6.4656373943400527E-2</v>
      </c>
    </row>
    <row r="53" spans="1:60" customFormat="1" x14ac:dyDescent="0.25">
      <c r="A53">
        <v>4.731232806676056E-3</v>
      </c>
      <c r="B53">
        <v>1.979769932284652E-3</v>
      </c>
      <c r="C53">
        <v>4.9520067756499992E-3</v>
      </c>
      <c r="D53">
        <v>3.706607995203118E-3</v>
      </c>
      <c r="E53">
        <v>8.5664162552067085E-3</v>
      </c>
      <c r="F53">
        <v>7.1723910273043994E-3</v>
      </c>
      <c r="G53">
        <v>8.0080316702962494E-4</v>
      </c>
      <c r="H53">
        <v>2.9600515153264434E-3</v>
      </c>
      <c r="I53">
        <v>2.574641156798087E-3</v>
      </c>
      <c r="J53" s="9">
        <v>0.2173803605986446</v>
      </c>
      <c r="K53">
        <v>0.54668380666266925</v>
      </c>
      <c r="L53">
        <v>0.46563716058526494</v>
      </c>
      <c r="M53" s="9">
        <v>0.55413209368215111</v>
      </c>
      <c r="N53">
        <v>0.63336586712729348</v>
      </c>
      <c r="O53">
        <v>0.61435061236603694</v>
      </c>
      <c r="P53" s="9">
        <v>8.7252044677734383E-3</v>
      </c>
      <c r="Q53">
        <v>4.8251742124557498E-3</v>
      </c>
      <c r="R53">
        <v>1.7024267173895834E-3</v>
      </c>
      <c r="S53">
        <v>6.1198364782355128E-3</v>
      </c>
      <c r="T53">
        <v>7.2516533807176617E-4</v>
      </c>
      <c r="U53">
        <v>7.2111119171513029E-4</v>
      </c>
      <c r="V53">
        <v>7.7978867862454363E-3</v>
      </c>
      <c r="W53">
        <v>8.0776736816428728E-3</v>
      </c>
      <c r="X53" s="9">
        <v>1.0127868722179441E-2</v>
      </c>
      <c r="Y53">
        <v>1.3635623001178964E-2</v>
      </c>
      <c r="Z53" s="9">
        <v>0.50253194553799141</v>
      </c>
      <c r="AA53">
        <v>0.50340885293306192</v>
      </c>
      <c r="AB53" s="9">
        <v>2.4768036603927614E-3</v>
      </c>
      <c r="AC53">
        <v>-5.5989548311343111E-2</v>
      </c>
      <c r="AD53">
        <v>-5.2568948269345432E-2</v>
      </c>
      <c r="AE53" s="15">
        <v>0.48697209770470651</v>
      </c>
      <c r="AF53" s="15" t="b">
        <v>0</v>
      </c>
      <c r="AG53">
        <v>0.1289313328314137</v>
      </c>
      <c r="AH53">
        <v>-3.6276811706022686E-3</v>
      </c>
      <c r="AI53">
        <v>-3.4119967537533445E-3</v>
      </c>
      <c r="AJ53">
        <v>-1.4992998865751798E-5</v>
      </c>
      <c r="AK53">
        <v>-3.2245275016148196E-6</v>
      </c>
      <c r="AL53">
        <v>-3.4311016910366883E-5</v>
      </c>
      <c r="AM53">
        <v>-1.5476528672637307E-5</v>
      </c>
      <c r="AN53">
        <v>-5.2747087085451872E-6</v>
      </c>
      <c r="AO53">
        <v>-1.4992998865751798E-5</v>
      </c>
      <c r="AP53">
        <v>-3.2245275016148196E-6</v>
      </c>
      <c r="AQ53">
        <v>-3.4311016910366883E-5</v>
      </c>
      <c r="AR53">
        <v>-7.0467094669033454E-4</v>
      </c>
      <c r="AS53">
        <v>-1.5155279257589652E-4</v>
      </c>
      <c r="AT53">
        <v>-1.6126177947872434E-3</v>
      </c>
      <c r="AU53">
        <v>-7.1966394555608628E-4</v>
      </c>
      <c r="AV53">
        <v>-1.5477732007751136E-4</v>
      </c>
      <c r="AW53">
        <v>-1.6469288116976104E-3</v>
      </c>
      <c r="AX53">
        <v>-3.6276811706022686E-3</v>
      </c>
      <c r="AY53">
        <v>-3.4119967537533445E-3</v>
      </c>
      <c r="AZ53">
        <v>-2.0102145622771521E-3</v>
      </c>
      <c r="BA53">
        <v>-1.8906969047940438E-3</v>
      </c>
      <c r="BB53">
        <v>-2.2976494302798609E-3</v>
      </c>
      <c r="BC53">
        <v>-2.1610422825764975E-3</v>
      </c>
      <c r="BD53">
        <v>-2.2286681486282456E-3</v>
      </c>
      <c r="BE53">
        <v>-2.0961622950592972E-3</v>
      </c>
      <c r="BF53">
        <v>0.1289313328314137</v>
      </c>
      <c r="BG53">
        <v>6.4792113528576625E-2</v>
      </c>
      <c r="BH53">
        <v>6.4905174367792792E-2</v>
      </c>
    </row>
    <row r="54" spans="1:60" customFormat="1" x14ac:dyDescent="0.25">
      <c r="A54">
        <v>1.9923965051104275E-3</v>
      </c>
      <c r="B54">
        <v>8.0638603388483894E-3</v>
      </c>
      <c r="C54">
        <v>9.971047131388619E-3</v>
      </c>
      <c r="D54">
        <v>8.2053685247067219E-3</v>
      </c>
      <c r="E54">
        <v>8.2399188363469107E-3</v>
      </c>
      <c r="F54">
        <v>2.9872922656782736E-3</v>
      </c>
      <c r="G54">
        <v>5.8114783482846825E-3</v>
      </c>
      <c r="H54">
        <v>9.9015586803154945E-3</v>
      </c>
      <c r="I54">
        <v>7.4332025079241028E-3</v>
      </c>
      <c r="J54" s="9">
        <v>0.75137396293183922</v>
      </c>
      <c r="K54">
        <v>1.0207998823509978</v>
      </c>
      <c r="L54">
        <v>0.62311145185973182</v>
      </c>
      <c r="M54" s="9">
        <v>0.67947800508817635</v>
      </c>
      <c r="N54">
        <v>0.73512837756505212</v>
      </c>
      <c r="O54">
        <v>0.65092586855186507</v>
      </c>
      <c r="P54" s="9">
        <v>6.6034364700317382E-3</v>
      </c>
      <c r="Q54">
        <v>2.0156735181808471E-3</v>
      </c>
      <c r="R54">
        <v>2.6328876232165747E-3</v>
      </c>
      <c r="S54">
        <v>3.3758875121665658E-4</v>
      </c>
      <c r="T54">
        <v>-2.6834943218758637E-4</v>
      </c>
      <c r="U54">
        <v>1.4093285508045064E-4</v>
      </c>
      <c r="V54">
        <v>2.9095485635176254E-3</v>
      </c>
      <c r="W54">
        <v>4.0300290044055541E-3</v>
      </c>
      <c r="X54" s="9">
        <v>8.1951544171717239E-3</v>
      </c>
      <c r="Y54">
        <v>4.9719115204805448E-3</v>
      </c>
      <c r="Z54" s="9">
        <v>0.5020487771378882</v>
      </c>
      <c r="AA54">
        <v>0.50124297531960194</v>
      </c>
      <c r="AB54" s="9">
        <v>5.4894804954528807E-3</v>
      </c>
      <c r="AC54">
        <v>-5.629589359182971E-2</v>
      </c>
      <c r="AD54">
        <v>-5.8047488018792531E-2</v>
      </c>
      <c r="AE54" s="15">
        <v>0.48703548167455729</v>
      </c>
      <c r="AF54" s="15" t="b">
        <v>0</v>
      </c>
      <c r="AG54">
        <v>0.12857676539753998</v>
      </c>
      <c r="AH54">
        <v>-3.6340017051058331E-3</v>
      </c>
      <c r="AI54">
        <v>-3.7410561431542051E-3</v>
      </c>
      <c r="AJ54">
        <v>-7.359328824902143E-6</v>
      </c>
      <c r="AK54">
        <v>3.2929676561750976E-7</v>
      </c>
      <c r="AL54">
        <v>-1.6696163390462294E-5</v>
      </c>
      <c r="AM54">
        <v>-4.9472515272188421E-6</v>
      </c>
      <c r="AN54">
        <v>-1.0471295517601358E-5</v>
      </c>
      <c r="AO54">
        <v>-7.359328824902143E-6</v>
      </c>
      <c r="AP54">
        <v>3.2929676561750976E-7</v>
      </c>
      <c r="AQ54">
        <v>-1.6696163390462294E-5</v>
      </c>
      <c r="AR54">
        <v>-3.3852912594549856E-4</v>
      </c>
      <c r="AS54">
        <v>1.514765121840545E-5</v>
      </c>
      <c r="AT54">
        <v>-7.6802351596126552E-4</v>
      </c>
      <c r="AU54">
        <v>-4.7099704479373715E-4</v>
      </c>
      <c r="AV54">
        <v>2.1074992999520625E-5</v>
      </c>
      <c r="AW54">
        <v>-1.0685544569895868E-3</v>
      </c>
      <c r="AX54">
        <v>-3.6340017051058331E-3</v>
      </c>
      <c r="AY54">
        <v>-3.7410561431542051E-3</v>
      </c>
      <c r="AZ54">
        <v>-2.4692242290723426E-3</v>
      </c>
      <c r="BA54">
        <v>-2.5419653650732865E-3</v>
      </c>
      <c r="BB54">
        <v>-2.6714577775430841E-3</v>
      </c>
      <c r="BC54">
        <v>-2.7501565328967221E-3</v>
      </c>
      <c r="BD54">
        <v>-2.3654657162149729E-3</v>
      </c>
      <c r="BE54">
        <v>-2.4351502192839413E-3</v>
      </c>
      <c r="BF54">
        <v>0.12857676539753998</v>
      </c>
      <c r="BG54">
        <v>6.4551807836180086E-2</v>
      </c>
      <c r="BH54">
        <v>6.4448200444833376E-2</v>
      </c>
    </row>
    <row r="55" spans="1:60" customFormat="1" x14ac:dyDescent="0.25">
      <c r="A55">
        <v>4.5466119154301187E-3</v>
      </c>
      <c r="B55">
        <v>5.5975584635515755E-3</v>
      </c>
      <c r="C55">
        <v>1.1224703016445962E-3</v>
      </c>
      <c r="D55">
        <v>5.2837143294276823E-3</v>
      </c>
      <c r="E55">
        <v>9.3290496941834753E-3</v>
      </c>
      <c r="F55">
        <v>8.4643235661094624E-3</v>
      </c>
      <c r="G55">
        <v>1.5218513822925443E-3</v>
      </c>
      <c r="H55">
        <v>7.6743918922052672E-3</v>
      </c>
      <c r="I55">
        <v>2.1128357667287269E-3</v>
      </c>
      <c r="J55" s="9">
        <v>0.28750773107747946</v>
      </c>
      <c r="K55">
        <v>0.77451860902160807</v>
      </c>
      <c r="L55">
        <v>0.4368598972171554</v>
      </c>
      <c r="M55" s="9">
        <v>0.57138587505021576</v>
      </c>
      <c r="N55">
        <v>0.68449754804711571</v>
      </c>
      <c r="O55">
        <v>0.60751055328534798</v>
      </c>
      <c r="P55" s="9">
        <v>8.0664157867431641E-3</v>
      </c>
      <c r="Q55">
        <v>1.7331808805465699E-3</v>
      </c>
      <c r="R55">
        <v>6.1944165015878298E-3</v>
      </c>
      <c r="S55">
        <v>6.9478859264270965E-3</v>
      </c>
      <c r="T55">
        <v>4.7456246416677783E-3</v>
      </c>
      <c r="U55">
        <v>7.9813535989731194E-3</v>
      </c>
      <c r="V55">
        <v>7.2325782090665583E-3</v>
      </c>
      <c r="W55">
        <v>4.8934721510254008E-3</v>
      </c>
      <c r="X55" s="9">
        <v>1.485418631110199E-2</v>
      </c>
      <c r="Y55">
        <v>1.4139157702917201E-2</v>
      </c>
      <c r="Z55" s="9">
        <v>0.50371347829741886</v>
      </c>
      <c r="AA55">
        <v>0.50353473053855757</v>
      </c>
      <c r="AB55" s="9">
        <v>2.923451066017151E-3</v>
      </c>
      <c r="AC55">
        <v>-5.6726078864052273E-2</v>
      </c>
      <c r="AD55">
        <v>-5.6510175361479495E-2</v>
      </c>
      <c r="AE55" s="15">
        <v>0.48647702988359454</v>
      </c>
      <c r="AF55" s="15" t="b">
        <v>0</v>
      </c>
      <c r="AG55">
        <v>0.12921668397870983</v>
      </c>
      <c r="AH55">
        <v>-3.6921975347701586E-3</v>
      </c>
      <c r="AI55">
        <v>-3.676839541170871E-3</v>
      </c>
      <c r="AJ55">
        <v>-2.7664944779781899E-5</v>
      </c>
      <c r="AK55">
        <v>-3.2080990085726781E-5</v>
      </c>
      <c r="AL55">
        <v>-2.7153667940402277E-5</v>
      </c>
      <c r="AM55">
        <v>-2.5661257399618049E-5</v>
      </c>
      <c r="AN55">
        <v>-1.8666464336154051E-5</v>
      </c>
      <c r="AO55">
        <v>-2.7664944779781899E-5</v>
      </c>
      <c r="AP55">
        <v>-3.2080990085726781E-5</v>
      </c>
      <c r="AQ55">
        <v>-2.7153667940402277E-5</v>
      </c>
      <c r="AR55">
        <v>-1.0512679016317123E-3</v>
      </c>
      <c r="AS55">
        <v>-1.2190776232576177E-3</v>
      </c>
      <c r="AT55">
        <v>-1.0318393817352865E-3</v>
      </c>
      <c r="AU55">
        <v>-1.4939070181082227E-3</v>
      </c>
      <c r="AV55">
        <v>-1.7323734646292463E-3</v>
      </c>
      <c r="AW55">
        <v>-1.4662980687817229E-3</v>
      </c>
      <c r="AX55">
        <v>-3.6921975347701586E-3</v>
      </c>
      <c r="AY55">
        <v>-3.676839541170871E-3</v>
      </c>
      <c r="AZ55">
        <v>-2.1096695192628964E-3</v>
      </c>
      <c r="BA55">
        <v>-2.1008941786511519E-3</v>
      </c>
      <c r="BB55">
        <v>-2.527300159455779E-3</v>
      </c>
      <c r="BC55">
        <v>-2.5167876504941433E-3</v>
      </c>
      <c r="BD55">
        <v>-2.2430489671870168E-3</v>
      </c>
      <c r="BE55">
        <v>-2.2337188239981609E-3</v>
      </c>
      <c r="BF55">
        <v>0.12921668397870983</v>
      </c>
      <c r="BG55">
        <v>6.5088185340974283E-2</v>
      </c>
      <c r="BH55">
        <v>6.5065088148305611E-2</v>
      </c>
    </row>
    <row r="56" spans="1:60" customFormat="1" x14ac:dyDescent="0.25">
      <c r="A56">
        <v>2.0599831294211583E-3</v>
      </c>
      <c r="B56">
        <v>7.8991813728162569E-3</v>
      </c>
      <c r="C56">
        <v>1.595133126875933E-3</v>
      </c>
      <c r="D56">
        <v>6.1404976319839842E-3</v>
      </c>
      <c r="E56">
        <v>6.9148932036693376E-3</v>
      </c>
      <c r="F56">
        <v>5.231033629249089E-3</v>
      </c>
      <c r="G56">
        <v>5.5848940134423418E-3</v>
      </c>
      <c r="H56">
        <v>7.3356363046155918E-3</v>
      </c>
      <c r="I56">
        <v>5.8518414546741811E-3</v>
      </c>
      <c r="J56" s="9">
        <v>0.69999858784155844</v>
      </c>
      <c r="K56">
        <v>0.85559531556529644</v>
      </c>
      <c r="L56">
        <v>0.66071579670759795</v>
      </c>
      <c r="M56" s="9">
        <v>0.66818745907438615</v>
      </c>
      <c r="N56">
        <v>0.70173956880811639</v>
      </c>
      <c r="O56">
        <v>0.65942116391773897</v>
      </c>
      <c r="P56" s="9">
        <v>3.0652523040771486E-4</v>
      </c>
      <c r="Q56">
        <v>7.4005478620529173E-3</v>
      </c>
      <c r="R56">
        <v>7.2554278997829496E-3</v>
      </c>
      <c r="S56">
        <v>5.8304222211559764E-3</v>
      </c>
      <c r="T56">
        <v>8.5952663584129736E-3</v>
      </c>
      <c r="U56">
        <v>5.7214536055854887E-4</v>
      </c>
      <c r="V56">
        <v>4.2535749119290344E-3</v>
      </c>
      <c r="W56">
        <v>5.096543320516349E-3</v>
      </c>
      <c r="X56" s="9">
        <v>1.1186149671404723E-2</v>
      </c>
      <c r="Y56">
        <v>1.5058628438323956E-2</v>
      </c>
      <c r="Z56" s="9">
        <v>0.50279650825733502</v>
      </c>
      <c r="AA56">
        <v>0.50376458597100504</v>
      </c>
      <c r="AB56" s="9">
        <v>8.7262749671936036E-4</v>
      </c>
      <c r="AC56">
        <v>-6.2958671448319417E-2</v>
      </c>
      <c r="AD56">
        <v>-5.5393395362230861E-2</v>
      </c>
      <c r="AE56" s="15">
        <v>0.48533220887075129</v>
      </c>
      <c r="AF56" s="15" t="b">
        <v>0</v>
      </c>
      <c r="AG56">
        <v>0.12939968951869146</v>
      </c>
      <c r="AH56">
        <v>-4.0961989534243426E-3</v>
      </c>
      <c r="AI56">
        <v>-3.6109282118430065E-3</v>
      </c>
      <c r="AJ56">
        <v>-3.3925823229518759E-5</v>
      </c>
      <c r="AK56">
        <v>-2.6156568328194322E-5</v>
      </c>
      <c r="AL56">
        <v>-2.362491135608816E-5</v>
      </c>
      <c r="AM56">
        <v>-3.0766441173578196E-5</v>
      </c>
      <c r="AN56">
        <v>-3.0656189660555096E-5</v>
      </c>
      <c r="AO56">
        <v>-3.3925823229518759E-5</v>
      </c>
      <c r="AP56">
        <v>-2.6156568328194322E-5</v>
      </c>
      <c r="AQ56">
        <v>-2.362491135608816E-5</v>
      </c>
      <c r="AR56">
        <v>-2.0355493937711253E-3</v>
      </c>
      <c r="AS56">
        <v>-1.5693940996916592E-3</v>
      </c>
      <c r="AT56">
        <v>-1.4174946813652895E-3</v>
      </c>
      <c r="AU56">
        <v>-2.0016235705416067E-3</v>
      </c>
      <c r="AV56">
        <v>-1.543237531363465E-3</v>
      </c>
      <c r="AW56">
        <v>-1.3938697700092014E-3</v>
      </c>
      <c r="AX56">
        <v>-4.0961989534243426E-3</v>
      </c>
      <c r="AY56">
        <v>-3.6109282118430065E-3</v>
      </c>
      <c r="AZ56">
        <v>-2.7370287705517711E-3</v>
      </c>
      <c r="BA56">
        <v>-2.4127769467713954E-3</v>
      </c>
      <c r="BB56">
        <v>-2.8744648873282558E-3</v>
      </c>
      <c r="BC56">
        <v>-2.5339312063757742E-3</v>
      </c>
      <c r="BD56">
        <v>-2.7011202815057042E-3</v>
      </c>
      <c r="BE56">
        <v>-2.3811224842769153E-3</v>
      </c>
      <c r="BF56">
        <v>0.12939968951869146</v>
      </c>
      <c r="BG56">
        <v>6.5061712059581334E-2</v>
      </c>
      <c r="BH56">
        <v>6.5186981015160211E-2</v>
      </c>
    </row>
    <row r="57" spans="1:60" customFormat="1" x14ac:dyDescent="0.25">
      <c r="A57">
        <v>3.813324915550329E-3</v>
      </c>
      <c r="B57">
        <v>6.1488925961074329E-3</v>
      </c>
      <c r="C57">
        <v>6.4913935687432574E-4</v>
      </c>
      <c r="D57">
        <v>4.2842725919240753E-3</v>
      </c>
      <c r="E57">
        <v>5.0731533778812536E-3</v>
      </c>
      <c r="F57">
        <v>2.7408661742345901E-3</v>
      </c>
      <c r="G57">
        <v>9.059962465831909E-3</v>
      </c>
      <c r="H57">
        <v>3.8528233214319644E-3</v>
      </c>
      <c r="I57">
        <v>3.4564482795982109E-3</v>
      </c>
      <c r="J57" s="9">
        <v>0.60233823338663461</v>
      </c>
      <c r="K57">
        <v>0.4329917778025244</v>
      </c>
      <c r="L57">
        <v>0.28762942605483421</v>
      </c>
      <c r="M57" s="9">
        <v>0.64619107480087445</v>
      </c>
      <c r="N57">
        <v>0.60658785059566722</v>
      </c>
      <c r="O57">
        <v>0.57141567838492002</v>
      </c>
      <c r="P57" s="9">
        <v>2.5473976135253905E-3</v>
      </c>
      <c r="Q57">
        <v>6.3468760251998903E-3</v>
      </c>
      <c r="R57">
        <v>8.0569719340899109E-3</v>
      </c>
      <c r="S57">
        <v>3.3582032468090777E-3</v>
      </c>
      <c r="T57">
        <v>7.5298765673307757E-3</v>
      </c>
      <c r="U57">
        <v>1.9658572977303791E-3</v>
      </c>
      <c r="V57">
        <v>7.2154449212484262E-3</v>
      </c>
      <c r="W57">
        <v>7.9385289708567234E-3</v>
      </c>
      <c r="X57" s="9">
        <v>1.2321272609483288E-2</v>
      </c>
      <c r="Y57">
        <v>1.4245582060723747E-2</v>
      </c>
      <c r="Z57" s="9">
        <v>0.50308027918340603</v>
      </c>
      <c r="AA57">
        <v>0.50356133528827596</v>
      </c>
      <c r="AB57" s="9">
        <v>3.7755429744720461E-4</v>
      </c>
      <c r="AC57">
        <v>-5.4281015045755512E-2</v>
      </c>
      <c r="AD57">
        <v>-5.6467843421265325E-2</v>
      </c>
      <c r="AE57" s="15">
        <v>0.48616224042794692</v>
      </c>
      <c r="AF57" s="15" t="b">
        <v>0</v>
      </c>
      <c r="AG57">
        <v>0.12921357299076111</v>
      </c>
      <c r="AH57">
        <v>-3.5285265471733476E-3</v>
      </c>
      <c r="AI57">
        <v>-3.6741908726202698E-3</v>
      </c>
      <c r="AJ57">
        <v>-2.634386544582407E-5</v>
      </c>
      <c r="AK57">
        <v>-2.049800123502044E-5</v>
      </c>
      <c r="AL57">
        <v>-3.1215044050800712E-5</v>
      </c>
      <c r="AM57">
        <v>-1.6027733353109668E-5</v>
      </c>
      <c r="AN57">
        <v>-1.7447254580735803E-5</v>
      </c>
      <c r="AO57">
        <v>-2.634386544582407E-5</v>
      </c>
      <c r="AP57">
        <v>-2.049800123502044E-5</v>
      </c>
      <c r="AQ57">
        <v>-3.1215044050800712E-5</v>
      </c>
      <c r="AR57">
        <v>-1.3962248686286757E-3</v>
      </c>
      <c r="AS57">
        <v>-1.0863940654560833E-3</v>
      </c>
      <c r="AT57">
        <v>-1.6543973346924378E-3</v>
      </c>
      <c r="AU57">
        <v>-1.0800984832787868E-3</v>
      </c>
      <c r="AV57">
        <v>-8.4041805063583808E-4</v>
      </c>
      <c r="AW57">
        <v>-1.2798168060828292E-3</v>
      </c>
      <c r="AX57">
        <v>-3.5285265471733476E-3</v>
      </c>
      <c r="AY57">
        <v>-3.6741908726202698E-3</v>
      </c>
      <c r="AZ57">
        <v>-2.2801023619813637E-3</v>
      </c>
      <c r="BA57">
        <v>-2.374229349002055E-3</v>
      </c>
      <c r="BB57">
        <v>-2.1403613340196322E-3</v>
      </c>
      <c r="BC57">
        <v>-2.2287195441009484E-3</v>
      </c>
      <c r="BD57">
        <v>-2.0162553906522577E-3</v>
      </c>
      <c r="BE57">
        <v>-2.0994902699939927E-3</v>
      </c>
      <c r="BF57">
        <v>0.12921357299076111</v>
      </c>
      <c r="BG57">
        <v>6.5004800374477506E-2</v>
      </c>
      <c r="BH57">
        <v>6.5066959352596779E-2</v>
      </c>
    </row>
    <row r="58" spans="1:60" customFormat="1" x14ac:dyDescent="0.25">
      <c r="A58">
        <v>9.7419981110476866E-3</v>
      </c>
      <c r="B58">
        <v>5.5947312977096203E-3</v>
      </c>
      <c r="C58">
        <v>7.4802150801476135E-3</v>
      </c>
      <c r="D58">
        <v>7.7173874916437336E-3</v>
      </c>
      <c r="E58">
        <v>5.3200069648531535E-3</v>
      </c>
      <c r="F58">
        <v>5.4089432084189464E-3</v>
      </c>
      <c r="G58">
        <v>7.8906030770081043E-3</v>
      </c>
      <c r="H58">
        <v>6.4204670827984469E-3</v>
      </c>
      <c r="I58">
        <v>9.1991618011521611E-3</v>
      </c>
      <c r="J58" s="9">
        <v>0.69787930781464347</v>
      </c>
      <c r="K58">
        <v>0.53097927033794234</v>
      </c>
      <c r="L58">
        <v>0.68055858424314208</v>
      </c>
      <c r="M58" s="9">
        <v>0.6677174198239737</v>
      </c>
      <c r="N58">
        <v>0.62971148225117823</v>
      </c>
      <c r="O58">
        <v>0.66386335621514769</v>
      </c>
      <c r="P58" s="9">
        <v>1.0439157485961914E-3</v>
      </c>
      <c r="Q58">
        <v>4.8075169324874878E-3</v>
      </c>
      <c r="R58">
        <v>5.8141983252844439E-3</v>
      </c>
      <c r="S58">
        <v>5.6364209958017315E-3</v>
      </c>
      <c r="T58">
        <v>9.1143378138825309E-3</v>
      </c>
      <c r="U58">
        <v>7.1660222036723682E-3</v>
      </c>
      <c r="V58">
        <v>6.7427268874044712E-3</v>
      </c>
      <c r="W58">
        <v>8.894091930628973E-3</v>
      </c>
      <c r="X58" s="9">
        <v>1.0665560427217922E-2</v>
      </c>
      <c r="Y58">
        <v>1.8988041600118688E-2</v>
      </c>
      <c r="Z58" s="9">
        <v>0.50266636483100713</v>
      </c>
      <c r="AA58">
        <v>0.50474686777898015</v>
      </c>
      <c r="AB58" s="9">
        <v>2.78688907623291E-3</v>
      </c>
      <c r="AC58">
        <v>-5.4238349924346334E-2</v>
      </c>
      <c r="AD58">
        <v>-6.1143477181048345E-2</v>
      </c>
      <c r="AE58" s="15">
        <v>0.48616880860400807</v>
      </c>
      <c r="AF58" s="15" t="b">
        <v>0</v>
      </c>
      <c r="AG58">
        <v>0.12931105982723592</v>
      </c>
      <c r="AH58">
        <v>-3.5255101217373441E-3</v>
      </c>
      <c r="AI58">
        <v>-3.9907951601292754E-3</v>
      </c>
      <c r="AJ58">
        <v>-2.8706384904494219E-5</v>
      </c>
      <c r="AK58">
        <v>-3.8242892755860995E-5</v>
      </c>
      <c r="AL58">
        <v>-3.9344559473471242E-5</v>
      </c>
      <c r="AM58">
        <v>-2.2960916617026039E-5</v>
      </c>
      <c r="AN58">
        <v>-4.3367214370412081E-5</v>
      </c>
      <c r="AO58">
        <v>-2.8706384904494219E-5</v>
      </c>
      <c r="AP58">
        <v>-3.8242892755860995E-5</v>
      </c>
      <c r="AQ58">
        <v>-3.9344559473471242E-5</v>
      </c>
      <c r="AR58">
        <v>-1.033429856561792E-3</v>
      </c>
      <c r="AS58">
        <v>-1.3767441392109959E-3</v>
      </c>
      <c r="AT58">
        <v>-1.4164041410449648E-3</v>
      </c>
      <c r="AU58">
        <v>-1.4927320150336994E-3</v>
      </c>
      <c r="AV58">
        <v>-1.9886304233047718E-3</v>
      </c>
      <c r="AW58">
        <v>-2.0459170926205045E-3</v>
      </c>
      <c r="AX58">
        <v>-3.5255101217373441E-3</v>
      </c>
      <c r="AY58">
        <v>-3.9907951601292754E-3</v>
      </c>
      <c r="AZ58">
        <v>-2.3540445220497628E-3</v>
      </c>
      <c r="BA58">
        <v>-2.6647234473675219E-3</v>
      </c>
      <c r="BB58">
        <v>-2.2200542044507549E-3</v>
      </c>
      <c r="BC58">
        <v>-2.5130495356458344E-3</v>
      </c>
      <c r="BD58">
        <v>-2.340456981787027E-3</v>
      </c>
      <c r="BE58">
        <v>-2.6493426689705884E-3</v>
      </c>
      <c r="BF58">
        <v>0.12931105982723592</v>
      </c>
      <c r="BG58">
        <v>6.5000320375801557E-2</v>
      </c>
      <c r="BH58">
        <v>6.5269352416977636E-2</v>
      </c>
    </row>
    <row r="59" spans="1:60" customFormat="1" x14ac:dyDescent="0.25">
      <c r="A59">
        <v>4.8015283145748005E-3</v>
      </c>
      <c r="B59">
        <v>9.7211473400934147E-3</v>
      </c>
      <c r="C59">
        <v>6.6003329079359109E-3</v>
      </c>
      <c r="D59">
        <v>7.82942892287114E-3</v>
      </c>
      <c r="E59">
        <v>7.3298465341875389E-3</v>
      </c>
      <c r="F59">
        <v>2.6117806508527304E-4</v>
      </c>
      <c r="G59">
        <v>1.6623969564112649E-3</v>
      </c>
      <c r="H59">
        <v>3.6919955987977102E-3</v>
      </c>
      <c r="I59">
        <v>7.6736655656087322E-3</v>
      </c>
      <c r="J59" s="9">
        <v>0.47751569594342808</v>
      </c>
      <c r="K59">
        <v>0.58681965717116347</v>
      </c>
      <c r="L59">
        <v>0.50231663260029391</v>
      </c>
      <c r="M59" s="9">
        <v>0.61716107119188179</v>
      </c>
      <c r="N59">
        <v>0.64263509511880512</v>
      </c>
      <c r="O59">
        <v>0.62300359381567361</v>
      </c>
      <c r="P59" s="9">
        <v>4.0822124481201174E-3</v>
      </c>
      <c r="Q59">
        <v>2.9240721464157105E-3</v>
      </c>
      <c r="R59">
        <v>4.7808341670475514E-3</v>
      </c>
      <c r="S59">
        <v>4.0748522817021671E-3</v>
      </c>
      <c r="T59">
        <v>4.1959067198048886E-3</v>
      </c>
      <c r="U59">
        <v>7.8002949556870704E-3</v>
      </c>
      <c r="V59">
        <v>3.2201234746358073E-3</v>
      </c>
      <c r="W59">
        <v>1.4263908849784296E-3</v>
      </c>
      <c r="X59" s="9">
        <v>9.7291940978373806E-3</v>
      </c>
      <c r="Y59">
        <v>1.1340302283869881E-2</v>
      </c>
      <c r="Z59" s="9">
        <v>0.50243227933842338</v>
      </c>
      <c r="AA59">
        <v>0.50283504518821809</v>
      </c>
      <c r="AB59" s="9">
        <v>6.71617329120636E-3</v>
      </c>
      <c r="AC59">
        <v>-5.3533987807029809E-2</v>
      </c>
      <c r="AD59">
        <v>-6.157030771358573E-2</v>
      </c>
      <c r="AE59" s="15">
        <v>0.48721760110440193</v>
      </c>
      <c r="AF59" s="15" t="b">
        <v>0</v>
      </c>
      <c r="AG59">
        <v>0.12878662286295622</v>
      </c>
      <c r="AH59">
        <v>-3.4640000052782948E-3</v>
      </c>
      <c r="AI59">
        <v>-3.9871962975671187E-3</v>
      </c>
      <c r="AJ59">
        <v>-2.0247848511048205E-5</v>
      </c>
      <c r="AK59">
        <v>-2.9327248974041889E-5</v>
      </c>
      <c r="AL59">
        <v>-1.0492507027854954E-5</v>
      </c>
      <c r="AM59">
        <v>-1.7682985671494811E-5</v>
      </c>
      <c r="AN59">
        <v>-1.4014477622389128E-5</v>
      </c>
      <c r="AO59">
        <v>-2.0247848511048205E-5</v>
      </c>
      <c r="AP59">
        <v>-2.9327248974041889E-5</v>
      </c>
      <c r="AQ59">
        <v>-1.0492507027854954E-5</v>
      </c>
      <c r="AR59">
        <v>-9.5164888001926561E-4</v>
      </c>
      <c r="AS59">
        <v>-1.3783807017799688E-3</v>
      </c>
      <c r="AT59">
        <v>-4.9314783030918283E-4</v>
      </c>
      <c r="AU59">
        <v>-1.2756144561960369E-3</v>
      </c>
      <c r="AV59">
        <v>-1.847616685364639E-3</v>
      </c>
      <c r="AW59">
        <v>-6.6102794275486204E-4</v>
      </c>
      <c r="AX59">
        <v>-3.4640000052782948E-3</v>
      </c>
      <c r="AY59">
        <v>-3.9871962975671187E-3</v>
      </c>
      <c r="AZ59">
        <v>-2.1378459538662366E-3</v>
      </c>
      <c r="BA59">
        <v>-2.460742338058828E-3</v>
      </c>
      <c r="BB59">
        <v>-2.2260879728835583E-3</v>
      </c>
      <c r="BC59">
        <v>-2.562312271944393E-3</v>
      </c>
      <c r="BD59">
        <v>-2.1580844522658899E-3</v>
      </c>
      <c r="BE59">
        <v>-2.4840376226328629E-3</v>
      </c>
      <c r="BF59">
        <v>0.12878662286295622</v>
      </c>
      <c r="BG59">
        <v>6.470655647333301E-2</v>
      </c>
      <c r="BH59">
        <v>6.4758427326932599E-2</v>
      </c>
    </row>
    <row r="60" spans="1:60" customFormat="1" ht="15.75" thickBot="1" x14ac:dyDescent="0.3">
      <c r="A60" s="1">
        <v>7.728359127019988E-3</v>
      </c>
      <c r="B60" s="1">
        <v>6.9437095823998637E-3</v>
      </c>
      <c r="C60" s="1">
        <v>8.8196732005498858E-3</v>
      </c>
      <c r="D60" s="1">
        <v>3.9688370217937719E-3</v>
      </c>
      <c r="E60" s="1">
        <v>7.8580492858703489E-3</v>
      </c>
      <c r="F60" s="1">
        <v>2.2974522949141627E-3</v>
      </c>
      <c r="G60" s="1">
        <v>7.684454439712606E-3</v>
      </c>
      <c r="H60" s="1">
        <v>4.7139509192453211E-3</v>
      </c>
      <c r="I60" s="1">
        <v>5.6553774134529885E-3</v>
      </c>
      <c r="J60" s="12">
        <v>0.58912683418296419</v>
      </c>
      <c r="K60" s="1">
        <v>0.58053298157570654</v>
      </c>
      <c r="L60" s="1">
        <v>0.41176352273703076</v>
      </c>
      <c r="M60" s="12">
        <v>0.64316477584064169</v>
      </c>
      <c r="N60" s="1">
        <v>0.64119003616539938</v>
      </c>
      <c r="O60" s="1">
        <v>0.60151066303870948</v>
      </c>
      <c r="P60" s="12">
        <v>6.9796705245971681E-3</v>
      </c>
      <c r="Q60" s="1">
        <v>9.7443932294845586E-3</v>
      </c>
      <c r="R60" s="1">
        <v>3.090867078330907E-3</v>
      </c>
      <c r="S60" s="1">
        <v>9.6728826568841762E-3</v>
      </c>
      <c r="T60" s="1">
        <v>3.843000034800577E-3</v>
      </c>
      <c r="U60" s="1">
        <v>6.3491594274494943E-3</v>
      </c>
      <c r="V60" s="1">
        <v>3.2724809185806286E-3</v>
      </c>
      <c r="W60" s="1">
        <v>9.6204290420291814E-4</v>
      </c>
      <c r="X60" s="12">
        <v>1.1431700687482499E-2</v>
      </c>
      <c r="Y60" s="1">
        <v>2.0615347463317314E-2</v>
      </c>
      <c r="Z60" s="12">
        <v>0.50285789404857184</v>
      </c>
      <c r="AA60" s="1">
        <v>0.50515365434506321</v>
      </c>
      <c r="AB60" s="12">
        <v>3.7547719478607179E-3</v>
      </c>
      <c r="AC60" s="1">
        <v>-6.1952698352513255E-2</v>
      </c>
      <c r="AD60" s="13">
        <v>1.9177150726318361E-3</v>
      </c>
      <c r="AE60" s="16">
        <v>0.493392911929803</v>
      </c>
      <c r="AF60" s="16" t="b">
        <v>0</v>
      </c>
      <c r="AG60" s="12">
        <v>0.12764415641132709</v>
      </c>
      <c r="AH60" s="1">
        <v>-3.9765498994200872E-3</v>
      </c>
      <c r="AI60" s="1">
        <v>1.2365409925281282E-4</v>
      </c>
      <c r="AJ60" s="1">
        <v>-7.135846026976791E-6</v>
      </c>
      <c r="AK60" s="1">
        <v>-9.2951920542180658E-6</v>
      </c>
      <c r="AL60" s="1">
        <v>-7.7560126976030669E-6</v>
      </c>
      <c r="AM60" s="1">
        <v>-4.7672862539541217E-6</v>
      </c>
      <c r="AN60" s="1">
        <v>-7.8383438012071164E-6</v>
      </c>
      <c r="AO60">
        <v>-7.135846026976791E-6</v>
      </c>
      <c r="AP60">
        <v>-9.2951920542180658E-6</v>
      </c>
      <c r="AQ60">
        <v>-7.7560126976030669E-6</v>
      </c>
      <c r="AR60">
        <v>-2.8543384107907165E-4</v>
      </c>
      <c r="AS60">
        <v>-3.7180768216872265E-4</v>
      </c>
      <c r="AT60">
        <v>-3.1024050790412266E-4</v>
      </c>
      <c r="AU60">
        <v>-3.9247153148372349E-4</v>
      </c>
      <c r="AV60">
        <v>-5.1123556298199367E-4</v>
      </c>
      <c r="AW60">
        <v>-4.2658069836816866E-4</v>
      </c>
      <c r="AX60">
        <v>-3.9765498994200872E-3</v>
      </c>
      <c r="AY60">
        <v>1.2365409925281282E-4</v>
      </c>
      <c r="AZ60">
        <v>-2.5575768246796468E-3</v>
      </c>
      <c r="BA60">
        <v>7.9529961027711814E-5</v>
      </c>
      <c r="BB60">
        <v>-2.5497241738226808E-3</v>
      </c>
      <c r="BC60">
        <v>7.928577637191093E-5</v>
      </c>
      <c r="BD60">
        <v>-2.39193716660669E-3</v>
      </c>
      <c r="BE60">
        <v>7.4379259229013825E-5</v>
      </c>
      <c r="BF60">
        <v>0.12764415641132709</v>
      </c>
      <c r="BG60">
        <v>6.4186871680606453E-2</v>
      </c>
      <c r="BH60">
        <v>6.4479912066974704E-2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B3CC-7B6F-40D7-B9E7-1BA4B02DBB6D}">
  <sheetPr codeName="Foglio4"/>
  <dimension ref="A1:T22"/>
  <sheetViews>
    <sheetView showGridLines="0" tabSelected="1" zoomScale="85" zoomScaleNormal="85" workbookViewId="0">
      <selection activeCell="U11" sqref="U11"/>
    </sheetView>
  </sheetViews>
  <sheetFormatPr defaultRowHeight="15" x14ac:dyDescent="0.25"/>
  <cols>
    <col min="1" max="2" width="12" customWidth="1"/>
    <col min="3" max="3" width="22.85546875" customWidth="1"/>
    <col min="4" max="4" width="12" customWidth="1"/>
    <col min="5" max="5" width="21.28515625" customWidth="1"/>
    <col min="6" max="6" width="12" customWidth="1"/>
    <col min="7" max="7" width="20.7109375" customWidth="1"/>
    <col min="8" max="10" width="12" customWidth="1"/>
    <col min="11" max="11" width="7.85546875" customWidth="1"/>
    <col min="18" max="18" width="2.85546875" customWidth="1"/>
    <col min="20" max="20" width="10.7109375" bestFit="1" customWidth="1"/>
  </cols>
  <sheetData>
    <row r="1" spans="1:20" x14ac:dyDescent="0.25">
      <c r="B1" s="2"/>
      <c r="C1" s="2"/>
      <c r="D1" s="2"/>
      <c r="E1" s="2"/>
      <c r="F1" s="2"/>
      <c r="G1" s="2"/>
      <c r="H1" s="2"/>
    </row>
    <row r="2" spans="1:20" ht="34.5" customHeight="1" thickBot="1" x14ac:dyDescent="0.45">
      <c r="A2" s="19"/>
      <c r="B2" s="21" t="s">
        <v>44</v>
      </c>
      <c r="C2" s="19"/>
      <c r="D2" s="19"/>
      <c r="E2" s="19"/>
      <c r="F2" s="19"/>
      <c r="G2" s="19"/>
      <c r="H2" s="19"/>
      <c r="I2" s="19"/>
      <c r="J2" s="19"/>
      <c r="L2" t="s">
        <v>54</v>
      </c>
    </row>
    <row r="3" spans="1:20" ht="34.5" customHeight="1" thickBot="1" x14ac:dyDescent="0.3">
      <c r="A3" s="19"/>
      <c r="B3" s="19"/>
      <c r="C3" s="19"/>
      <c r="D3" s="22" t="s">
        <v>2</v>
      </c>
      <c r="E3" s="19"/>
      <c r="F3" s="19"/>
      <c r="G3" s="19"/>
      <c r="H3" s="19"/>
      <c r="I3" s="19"/>
      <c r="J3" s="19"/>
    </row>
    <row r="4" spans="1:20" ht="34.5" customHeight="1" thickBo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S4" s="27" t="s">
        <v>45</v>
      </c>
      <c r="T4" s="28">
        <f>COUNTIF(y_pred_arr,FALSE)/COUNTA(Y)</f>
        <v>1</v>
      </c>
    </row>
    <row r="5" spans="1:20" ht="34.5" customHeight="1" thickBot="1" x14ac:dyDescent="0.3">
      <c r="A5" s="19"/>
      <c r="B5" s="25" t="s">
        <v>0</v>
      </c>
      <c r="C5" s="19"/>
      <c r="D5" s="19"/>
      <c r="E5" s="19"/>
      <c r="F5" s="23" t="s">
        <v>5</v>
      </c>
      <c r="G5" s="19"/>
      <c r="H5" s="19"/>
      <c r="I5" s="19"/>
      <c r="J5" s="19"/>
      <c r="S5" s="27" t="s">
        <v>47</v>
      </c>
      <c r="T5" s="28" cm="1">
        <f t="array" ref="T5">AVERAGE(-(Y*LN(Y_pred)+(1-Y)*(LN(1-Y_pred))))</f>
        <v>0.72476631320913842</v>
      </c>
    </row>
    <row r="6" spans="1:20" ht="34.5" customHeight="1" thickBot="1" x14ac:dyDescent="0.3">
      <c r="A6" s="19"/>
      <c r="B6" s="19"/>
      <c r="C6" s="19"/>
      <c r="D6" s="19"/>
      <c r="E6" s="19"/>
      <c r="F6" s="19"/>
      <c r="G6" s="19"/>
      <c r="H6" s="19"/>
      <c r="I6" s="19"/>
      <c r="J6" s="19"/>
    </row>
    <row r="7" spans="1:20" ht="34.5" customHeight="1" thickBot="1" x14ac:dyDescent="0.3">
      <c r="A7" s="19"/>
      <c r="B7" s="19"/>
      <c r="C7" s="19"/>
      <c r="D7" s="22" t="s">
        <v>3</v>
      </c>
      <c r="E7" s="19"/>
      <c r="F7" s="19"/>
      <c r="G7" s="19"/>
      <c r="H7" s="24" t="s">
        <v>7</v>
      </c>
      <c r="I7" s="19"/>
      <c r="J7" s="19" t="s">
        <v>10</v>
      </c>
    </row>
    <row r="8" spans="1:20" ht="34.5" customHeight="1" thickBot="1" x14ac:dyDescent="0.3">
      <c r="A8" s="19"/>
      <c r="B8" s="19"/>
      <c r="C8" s="19"/>
      <c r="D8" s="19"/>
      <c r="E8" s="19"/>
      <c r="F8" s="19"/>
      <c r="G8" s="19"/>
      <c r="H8" s="19"/>
      <c r="I8" s="19"/>
      <c r="J8" s="19"/>
    </row>
    <row r="9" spans="1:20" ht="34.5" customHeight="1" thickBot="1" x14ac:dyDescent="0.3">
      <c r="A9" s="20"/>
      <c r="B9" s="25" t="s">
        <v>1</v>
      </c>
      <c r="C9" s="19"/>
      <c r="D9" s="19"/>
      <c r="E9" s="19"/>
      <c r="F9" s="23" t="s">
        <v>6</v>
      </c>
      <c r="G9" s="19"/>
      <c r="H9" s="19"/>
      <c r="I9" s="19"/>
      <c r="J9" s="19"/>
    </row>
    <row r="10" spans="1:20" ht="34.5" customHeight="1" thickBot="1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</row>
    <row r="11" spans="1:20" ht="34.5" customHeight="1" thickBot="1" x14ac:dyDescent="0.3">
      <c r="A11" s="19"/>
      <c r="B11" s="19"/>
      <c r="C11" s="19"/>
      <c r="D11" s="22" t="s">
        <v>4</v>
      </c>
      <c r="E11" s="19"/>
      <c r="F11" s="19"/>
      <c r="G11" s="19"/>
      <c r="H11" s="19"/>
      <c r="I11" s="19"/>
      <c r="J11" s="19"/>
    </row>
    <row r="12" spans="1:20" ht="28.5" customHeight="1" x14ac:dyDescent="0.4">
      <c r="B12" s="21" t="s">
        <v>9</v>
      </c>
    </row>
    <row r="13" spans="1:20" ht="42" customHeight="1" thickBot="1" x14ac:dyDescent="0.3">
      <c r="D13" s="29" t="s">
        <v>51</v>
      </c>
    </row>
    <row r="14" spans="1:20" ht="42" customHeight="1" thickBot="1" x14ac:dyDescent="0.3">
      <c r="D14" s="22" t="s">
        <v>14</v>
      </c>
      <c r="F14" s="29" t="s">
        <v>49</v>
      </c>
    </row>
    <row r="15" spans="1:20" ht="42" customHeight="1" thickBot="1" x14ac:dyDescent="0.3">
      <c r="F15" s="23" t="s">
        <v>12</v>
      </c>
    </row>
    <row r="16" spans="1:20" ht="42" customHeight="1" thickBot="1" x14ac:dyDescent="0.3">
      <c r="D16" s="29" t="s">
        <v>52</v>
      </c>
      <c r="H16" s="30" t="s">
        <v>48</v>
      </c>
    </row>
    <row r="17" spans="4:8" ht="42" customHeight="1" thickBot="1" x14ac:dyDescent="0.3">
      <c r="D17" s="22" t="s">
        <v>15</v>
      </c>
      <c r="H17" s="24" t="s">
        <v>11</v>
      </c>
    </row>
    <row r="18" spans="4:8" ht="42" customHeight="1" thickBot="1" x14ac:dyDescent="0.3">
      <c r="F18" s="29" t="s">
        <v>50</v>
      </c>
    </row>
    <row r="19" spans="4:8" ht="42" customHeight="1" thickBot="1" x14ac:dyDescent="0.3">
      <c r="D19" s="29" t="s">
        <v>53</v>
      </c>
      <c r="F19" s="23" t="s">
        <v>13</v>
      </c>
    </row>
    <row r="20" spans="4:8" ht="42" customHeight="1" thickBot="1" x14ac:dyDescent="0.3">
      <c r="D20" s="22" t="s">
        <v>16</v>
      </c>
    </row>
    <row r="21" spans="4:8" ht="42" customHeight="1" x14ac:dyDescent="0.25"/>
    <row r="22" spans="4:8" ht="42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1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2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1</vt:i4>
      </vt:variant>
      <vt:variant>
        <vt:lpstr>Intervalli denominati</vt:lpstr>
      </vt:variant>
      <vt:variant>
        <vt:i4>61</vt:i4>
      </vt:variant>
    </vt:vector>
  </HeadingPairs>
  <TitlesOfParts>
    <vt:vector size="65" baseType="lpstr">
      <vt:lpstr>DATI</vt:lpstr>
      <vt:lpstr>PARAMETRI</vt:lpstr>
      <vt:lpstr>Grafo</vt:lpstr>
      <vt:lpstr>Grafico1</vt:lpstr>
      <vt:lpstr>a1_1</vt:lpstr>
      <vt:lpstr>a1_2</vt:lpstr>
      <vt:lpstr>a1_3</vt:lpstr>
      <vt:lpstr>a2_1</vt:lpstr>
      <vt:lpstr>a2_2</vt:lpstr>
      <vt:lpstr>beta1_1</vt:lpstr>
      <vt:lpstr>beta1_2</vt:lpstr>
      <vt:lpstr>beta1_3</vt:lpstr>
      <vt:lpstr>beta2_1</vt:lpstr>
      <vt:lpstr>beta2_2</vt:lpstr>
      <vt:lpstr>beta3</vt:lpstr>
      <vt:lpstr>deltabeta1_1</vt:lpstr>
      <vt:lpstr>deltabeta1_2</vt:lpstr>
      <vt:lpstr>deltabeta1_3</vt:lpstr>
      <vt:lpstr>deltabeta2_1</vt:lpstr>
      <vt:lpstr>deltabeta2_2</vt:lpstr>
      <vt:lpstr>deltabeta3</vt:lpstr>
      <vt:lpstr>deltaw11_1</vt:lpstr>
      <vt:lpstr>deltaw11_2</vt:lpstr>
      <vt:lpstr>deltaw11_3</vt:lpstr>
      <vt:lpstr>deltaw12_1</vt:lpstr>
      <vt:lpstr>deltaw12_2</vt:lpstr>
      <vt:lpstr>deltaw12_3</vt:lpstr>
      <vt:lpstr>deltaw21_1</vt:lpstr>
      <vt:lpstr>deltaw21_2</vt:lpstr>
      <vt:lpstr>deltaw22_1</vt:lpstr>
      <vt:lpstr>deltaw22_2</vt:lpstr>
      <vt:lpstr>deltaw23_1</vt:lpstr>
      <vt:lpstr>deltaw23_2</vt:lpstr>
      <vt:lpstr>deltaw31_1</vt:lpstr>
      <vt:lpstr>deltaw32_1</vt:lpstr>
      <vt:lpstr>dZ1_1</vt:lpstr>
      <vt:lpstr>dZ1_2</vt:lpstr>
      <vt:lpstr>dZ1_3</vt:lpstr>
      <vt:lpstr>dZ2_1</vt:lpstr>
      <vt:lpstr>dZ2_2</vt:lpstr>
      <vt:lpstr>dZL</vt:lpstr>
      <vt:lpstr>w11_1</vt:lpstr>
      <vt:lpstr>w11_2</vt:lpstr>
      <vt:lpstr>w11_3</vt:lpstr>
      <vt:lpstr>w12_1</vt:lpstr>
      <vt:lpstr>w12_2</vt:lpstr>
      <vt:lpstr>w12_3</vt:lpstr>
      <vt:lpstr>w21_1</vt:lpstr>
      <vt:lpstr>w21_2</vt:lpstr>
      <vt:lpstr>w22_1</vt:lpstr>
      <vt:lpstr>w22_2</vt:lpstr>
      <vt:lpstr>w23_1</vt:lpstr>
      <vt:lpstr>w23_2</vt:lpstr>
      <vt:lpstr>w31_1</vt:lpstr>
      <vt:lpstr>w32_1</vt:lpstr>
      <vt:lpstr>X_1</vt:lpstr>
      <vt:lpstr>X_2</vt:lpstr>
      <vt:lpstr>Y</vt:lpstr>
      <vt:lpstr>Y_pred</vt:lpstr>
      <vt:lpstr>y_pred_arr</vt:lpstr>
      <vt:lpstr>z1_1</vt:lpstr>
      <vt:lpstr>z1_2</vt:lpstr>
      <vt:lpstr>z1_3</vt:lpstr>
      <vt:lpstr>Z2_1</vt:lpstr>
      <vt:lpstr>Z2_2</vt:lpstr>
    </vt:vector>
  </TitlesOfParts>
  <Company>A2A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Proietti Antonio</dc:creator>
  <cp:lastModifiedBy>Proietti Antonio</cp:lastModifiedBy>
  <dcterms:created xsi:type="dcterms:W3CDTF">2024-03-18T08:43:06Z</dcterms:created>
  <dcterms:modified xsi:type="dcterms:W3CDTF">2024-07-30T10:46:22Z</dcterms:modified>
</cp:coreProperties>
</file>